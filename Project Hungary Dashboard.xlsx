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4.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drawings/drawing5.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drawings/drawing6.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drawings/drawing7.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drawings/drawing8.xml" ContentType="application/vnd.openxmlformats-officedocument.drawing+xml"/>
  <Override PartName="/xl/tables/table10.xml" ContentType="application/vnd.openxmlformats-officedocument.spreadsheetml.table+xml"/>
  <Override PartName="/xl/queryTables/queryTable10.xml" ContentType="application/vnd.openxmlformats-officedocument.spreadsheetml.queryTable+xml"/>
  <Override PartName="/xl/drawings/drawing9.xml" ContentType="application/vnd.openxmlformats-officedocument.drawing+xml"/>
  <Override PartName="/xl/tables/table11.xml" ContentType="application/vnd.openxmlformats-officedocument.spreadsheetml.table+xml"/>
  <Override PartName="/xl/queryTables/queryTable1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josebrenes/Desktop/Hungary Source Data/"/>
    </mc:Choice>
  </mc:AlternateContent>
  <xr:revisionPtr revIDLastSave="0" documentId="8_{0813B05D-DB29-B741-8408-910C7B00D3EF}" xr6:coauthVersionLast="47" xr6:coauthVersionMax="47" xr10:uidLastSave="{00000000-0000-0000-0000-000000000000}"/>
  <bookViews>
    <workbookView xWindow="0" yWindow="500" windowWidth="28800" windowHeight="16460" xr2:uid="{FC5A7459-E881-4F66-B131-8B3B85E9742E}"/>
  </bookViews>
  <sheets>
    <sheet name="Dashboard" sheetId="15" r:id="rId1"/>
    <sheet name="Full Table Data" sheetId="44" r:id="rId2"/>
    <sheet name="Merge 4" sheetId="43" state="hidden" r:id="rId3"/>
    <sheet name="Merge 3" sheetId="42" state="hidden" r:id="rId4"/>
    <sheet name="Merge 2" sheetId="41" state="hidden" r:id="rId5"/>
    <sheet name="Merge 1" sheetId="40" state="hidden" r:id="rId6"/>
    <sheet name="Popluation" sheetId="39" r:id="rId7"/>
    <sheet name="CPI" sheetId="38" r:id="rId8"/>
    <sheet name="Inflation Rate" sheetId="37" r:id="rId9"/>
    <sheet name="Unemployment" sheetId="36" r:id="rId10"/>
    <sheet name="GDP Growth" sheetId="35" r:id="rId11"/>
    <sheet name="GDP" sheetId="34" r:id="rId12"/>
  </sheets>
  <definedNames>
    <definedName name="ExternalData_1" localSheetId="11" hidden="1">GDP!$A$1:$B$52</definedName>
    <definedName name="ExternalData_1" localSheetId="6" hidden="1">Popluation!$A$1:$B$52</definedName>
    <definedName name="ExternalData_2" localSheetId="10" hidden="1">'GDP Growth'!$A$1:$B$65</definedName>
    <definedName name="ExternalData_2" localSheetId="5" hidden="1">'Merge 1'!$A$1:$C$52</definedName>
    <definedName name="ExternalData_3" localSheetId="4" hidden="1">'Merge 2'!$A$1:$D$52</definedName>
    <definedName name="ExternalData_3" localSheetId="9" hidden="1">Unemployment!$A$1:$B$36</definedName>
    <definedName name="ExternalData_4" localSheetId="8" hidden="1">'Inflation Rate'!$A$1:$B$52</definedName>
    <definedName name="ExternalData_4" localSheetId="3" hidden="1">'Merge 3'!$A$1:$E$52</definedName>
    <definedName name="ExternalData_5" localSheetId="7" hidden="1">'CPI'!$A$1:$B$54</definedName>
    <definedName name="ExternalData_5" localSheetId="2" hidden="1">'Merge 4'!$A$1:$F$52</definedName>
    <definedName name="ExternalData_6" localSheetId="1" hidden="1">'Full Table Data'!$A$1:$G$52</definedName>
    <definedName name="Slicer_Economic_Era">#N/A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4" l="1" a="1"/>
  <c r="H2" i="44" s="1"/>
  <c r="H3" i="44" a="1"/>
  <c r="H3" i="44" s="1"/>
  <c r="H4" i="44" a="1"/>
  <c r="H4" i="44" s="1"/>
  <c r="H5" i="44" a="1"/>
  <c r="H5" i="44" s="1"/>
  <c r="H6" i="44" a="1"/>
  <c r="H6" i="44" s="1"/>
  <c r="H7" i="44" a="1"/>
  <c r="H7" i="44" s="1"/>
  <c r="H8" i="44" a="1"/>
  <c r="H8" i="44" s="1"/>
  <c r="H9" i="44" a="1"/>
  <c r="H9" i="44" s="1"/>
  <c r="H10" i="44" a="1"/>
  <c r="H10" i="44" s="1"/>
  <c r="H11" i="44" a="1"/>
  <c r="H11" i="44" s="1"/>
  <c r="H12" i="44" a="1"/>
  <c r="H12" i="44" s="1"/>
  <c r="H13" i="44" a="1"/>
  <c r="H13" i="44" s="1"/>
  <c r="H14" i="44" a="1"/>
  <c r="H14" i="44" s="1"/>
  <c r="H15" i="44" a="1"/>
  <c r="H15" i="44" s="1"/>
  <c r="H16" i="44" a="1"/>
  <c r="H16" i="44" s="1"/>
  <c r="H17" i="44" a="1"/>
  <c r="H17" i="44" s="1"/>
  <c r="H18" i="44" a="1"/>
  <c r="H18" i="44" s="1"/>
  <c r="H19" i="44" a="1"/>
  <c r="H19" i="44" s="1"/>
  <c r="H20" i="44" a="1"/>
  <c r="H20" i="44" s="1"/>
  <c r="H21" i="44" a="1"/>
  <c r="H21" i="44" s="1"/>
  <c r="H22" i="44" a="1"/>
  <c r="H22" i="44" s="1"/>
  <c r="H23" i="44" a="1"/>
  <c r="H23" i="44" s="1"/>
  <c r="H24" i="44" a="1"/>
  <c r="H24" i="44" s="1"/>
  <c r="H25" i="44" a="1"/>
  <c r="H25" i="44" s="1"/>
  <c r="H26" i="44" a="1"/>
  <c r="H26" i="44" s="1"/>
  <c r="H27" i="44" a="1"/>
  <c r="H27" i="44" s="1"/>
  <c r="H28" i="44" a="1"/>
  <c r="H28" i="44" s="1"/>
  <c r="H29" i="44" a="1"/>
  <c r="H29" i="44" s="1"/>
  <c r="H30" i="44" a="1"/>
  <c r="H30" i="44" s="1"/>
  <c r="H31" i="44" a="1"/>
  <c r="H31" i="44" s="1"/>
  <c r="H32" i="44" a="1"/>
  <c r="H32" i="44" s="1"/>
  <c r="H33" i="44" a="1"/>
  <c r="H33" i="44" s="1"/>
  <c r="H34" i="44" a="1"/>
  <c r="H34" i="44" s="1"/>
  <c r="H35" i="44" a="1"/>
  <c r="H35" i="44" s="1"/>
  <c r="H36" i="44" a="1"/>
  <c r="H36" i="44" s="1"/>
  <c r="H37" i="44" a="1"/>
  <c r="H37" i="44" s="1"/>
  <c r="H38" i="44" a="1"/>
  <c r="H38" i="44" s="1"/>
  <c r="H39" i="44" a="1"/>
  <c r="H39" i="44" s="1"/>
  <c r="H40" i="44" a="1"/>
  <c r="H40" i="44" s="1"/>
  <c r="H41" i="44" a="1"/>
  <c r="H41" i="44" s="1"/>
  <c r="H42" i="44" a="1"/>
  <c r="H42" i="44" s="1"/>
  <c r="H43" i="44" a="1"/>
  <c r="H43" i="44" s="1"/>
  <c r="H44" i="44" a="1"/>
  <c r="H44" i="44" s="1"/>
  <c r="H45" i="44" a="1"/>
  <c r="H45" i="44" s="1"/>
  <c r="H46" i="44" a="1"/>
  <c r="H46" i="44" s="1"/>
  <c r="H47" i="44" a="1"/>
  <c r="H47" i="44" s="1"/>
  <c r="H48" i="44" a="1"/>
  <c r="H48" i="44" s="1"/>
  <c r="H49" i="44" a="1"/>
  <c r="H49" i="44" s="1"/>
  <c r="H50" i="44" a="1"/>
  <c r="H50" i="44" s="1"/>
  <c r="H51" i="44" a="1"/>
  <c r="H51" i="44" s="1"/>
  <c r="H52" i="44" a="1"/>
  <c r="H52" i="4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935CC1-AF77-DA42-A1BA-543AC0707F25}" keepAlive="1" name="Query - CPI" description="Connection to the 'CPI' query in the workbook." type="5" refreshedVersion="8" background="1" saveData="1">
    <dbPr connection="Provider=Microsoft.Mashup.OleDb.1;Data Source=$Workbook$;Location=CPI;Extended Properties=&quot;&quot;" command="SELECT * FROM [CPI]"/>
  </connection>
  <connection id="2" xr16:uid="{FB87DAD3-2E36-8847-82BB-6D07606A2990}" keepAlive="1" name="Query - Full Table Data" description="Connection to the 'Full Table Data' query in the workbook." type="5" refreshedVersion="8" background="1" saveData="1">
    <dbPr connection="Provider=Microsoft.Mashup.OleDb.1;Data Source=$Workbook$;Location=&quot;Full Table Data&quot;;Extended Properties=&quot;&quot;" command="SELECT * FROM [Full Table Data]"/>
  </connection>
  <connection id="3" xr16:uid="{A6EB30E8-CCD1-F144-96E9-FDB2295AF88A}" keepAlive="1" name="Query - GDP" description="Connection to the 'GDP' query in the workbook." type="5" refreshedVersion="8" background="1" saveData="1">
    <dbPr connection="Provider=Microsoft.Mashup.OleDb.1;Data Source=$Workbook$;Location=GDP;Extended Properties=&quot;&quot;" command="SELECT * FROM [GDP]"/>
  </connection>
  <connection id="4" xr16:uid="{294DA87D-E860-5B4D-BF3D-16BC8B013B69}" keepAlive="1" name="Query - GDP Growth" description="Connection to the 'GDP Growth' query in the workbook." type="5" refreshedVersion="8" background="1" saveData="1">
    <dbPr connection="Provider=Microsoft.Mashup.OleDb.1;Data Source=$Workbook$;Location=&quot;GDP Growth&quot;;Extended Properties=&quot;&quot;" command="SELECT * FROM [GDP Growth]"/>
  </connection>
  <connection id="5" xr16:uid="{FD497CE2-760A-3F42-99F0-181A5B822012}" keepAlive="1" name="Query - Inflation Rate" description="Connection to the 'Inflation Rate' query in the workbook." type="5" refreshedVersion="8" background="1" saveData="1">
    <dbPr connection="Provider=Microsoft.Mashup.OleDb.1;Data Source=$Workbook$;Location=&quot;Inflation Rate&quot;;Extended Properties=&quot;&quot;" command="SELECT * FROM [Inflation Rate]"/>
  </connection>
  <connection id="6" xr16:uid="{DC966207-BAD2-AC40-9E88-41D279B35E43}" keepAlive="1" name="Query - Merge 1" description="Connection to the 'Merge 1' query in the workbook." type="5" refreshedVersion="8" background="1" saveData="1">
    <dbPr connection="Provider=Microsoft.Mashup.OleDb.1;Data Source=$Workbook$;Location=&quot;Merge 1&quot;;Extended Properties=&quot;&quot;" command="SELECT * FROM [Merge 1]"/>
  </connection>
  <connection id="7" xr16:uid="{6F613EBA-9CCB-B94D-94A8-8D942B0E4054}" keepAlive="1" name="Query - Merge 2" description="Connection to the 'Merge 2' query in the workbook." type="5" refreshedVersion="8" background="1" saveData="1">
    <dbPr connection="Provider=Microsoft.Mashup.OleDb.1;Data Source=$Workbook$;Location=&quot;Merge 2&quot;;Extended Properties=&quot;&quot;" command="SELECT * FROM [Merge 2]"/>
  </connection>
  <connection id="8" xr16:uid="{72127BFD-B98F-8D48-AECF-736FBBBC0BCC}" keepAlive="1" name="Query - Merge 3" description="Connection to the 'Merge 3' query in the workbook." type="5" refreshedVersion="8" background="1" saveData="1">
    <dbPr connection="Provider=Microsoft.Mashup.OleDb.1;Data Source=$Workbook$;Location=&quot;Merge 3&quot;;Extended Properties=&quot;&quot;" command="SELECT * FROM [Merge 3]"/>
  </connection>
  <connection id="9" xr16:uid="{E437A0CF-F130-C74D-A73A-1CC52BC377D8}" keepAlive="1" name="Query - Merge 4" description="Connection to the 'Merge 4' query in the workbook." type="5" refreshedVersion="8" background="1" saveData="1">
    <dbPr connection="Provider=Microsoft.Mashup.OleDb.1;Data Source=$Workbook$;Location=&quot;Merge 4&quot;;Extended Properties=&quot;&quot;" command="SELECT * FROM [Merge 4]"/>
  </connection>
  <connection id="10" xr16:uid="{5AD4539F-50E6-9A4F-BF90-7941FA1D6CBE}" keepAlive="1" name="Query - Popluation" description="Connection to the 'Popluation' query in the workbook." type="5" refreshedVersion="8" background="1" saveData="1">
    <dbPr connection="Provider=Microsoft.Mashup.OleDb.1;Data Source=$Workbook$;Location=Popluation;Extended Properties=&quot;&quot;" command="SELECT * FROM [Popluation]"/>
  </connection>
  <connection id="11" xr16:uid="{09494E38-F702-7547-AC1C-B3D89F832C92}" keepAlive="1" name="Query - Unemployment" description="Connection to the 'Unemployment' query in the workbook." type="5" refreshedVersion="8" background="1" saveData="1">
    <dbPr connection="Provider=Microsoft.Mashup.OleDb.1;Data Source=$Workbook$;Location=Unemployment;Extended Properties=&quot;&quot;" command="SELECT * FROM [Unemploymen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<sst xmlns="http://schemas.openxmlformats.org/spreadsheetml/2006/main" count="90" uniqueCount="21">
  <si>
    <t>Population</t>
  </si>
  <si>
    <t>Rate</t>
  </si>
  <si>
    <t xml:space="preserve">Year </t>
  </si>
  <si>
    <t>GDP Growth</t>
  </si>
  <si>
    <t>Year</t>
  </si>
  <si>
    <t>% Of Total Labor Force</t>
  </si>
  <si>
    <t>Inflation Rate</t>
  </si>
  <si>
    <t>Economic Era</t>
  </si>
  <si>
    <t>Data Type</t>
  </si>
  <si>
    <t>Historical Data</t>
  </si>
  <si>
    <t>Forecast</t>
  </si>
  <si>
    <t>Unemployment % Of Total Labor Force</t>
  </si>
  <si>
    <t>Total population of Hungary from 1980 to 2030 (in millions)</t>
  </si>
  <si>
    <t>Consumer price index (CPI) in Hungary from 1972 to 2024 (in points)</t>
  </si>
  <si>
    <t>Gross domestic product (GDP) in current prices in Hungary from 1980 to 2030 (in billion U.S. dollars)</t>
  </si>
  <si>
    <t>Average inflation rate in Hungary from 1980 to 2030</t>
  </si>
  <si>
    <t>GDP Per capita</t>
  </si>
  <si>
    <t>Amount</t>
  </si>
  <si>
    <t>GDP Growth.1</t>
  </si>
  <si>
    <t>GDP per capita</t>
  </si>
  <si>
    <t>CPI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</si>
</sst>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applyAlignment="1">
      <alignment horizontal="center"/>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Misery Index (B)</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2"/>
          <c:order val="1"/>
          <c:tx>
            <c:strRef>
              <c:f>'Full Table Data'!$E$1</c:f>
              <c:strCache>
                <c:ptCount val="1"/>
                <c:pt idx="0">
                  <c:v>Inflation Rate</c:v>
                </c:pt>
              </c:strCache>
            </c:strRef>
          </c:tx>
          <c:spPr>
            <a:ln w="28575" cap="rnd">
              <a:solidFill>
                <a:srgbClr val="C00000"/>
              </a:solidFill>
              <a:round/>
            </a:ln>
            <a:effectLst>
              <a:outerShdw blurRad="50800" dist="38100" dir="9600000" sx="97000" sy="97000" rotWithShape="0">
                <a:schemeClr val="accent2">
                  <a:alpha val="86000"/>
                </a:schemeClr>
              </a:outerShdw>
            </a:effectLst>
          </c:spPr>
          <c:marker>
            <c:symbol val="none"/>
          </c:marker>
          <c:cat>
            <c:strRef>
              <c:f>'Full Table Data'!$A:$A</c:f>
              <c:strCache>
                <c:ptCount val="48"/>
                <c:pt idx="0">
                  <c:v>Year</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pt idx="38">
                  <c:v>2017</c:v>
                </c:pt>
                <c:pt idx="39">
                  <c:v>2018</c:v>
                </c:pt>
                <c:pt idx="40">
                  <c:v>2019</c:v>
                </c:pt>
                <c:pt idx="41">
                  <c:v>2020</c:v>
                </c:pt>
                <c:pt idx="42">
                  <c:v>2021</c:v>
                </c:pt>
                <c:pt idx="43">
                  <c:v>2022</c:v>
                </c:pt>
                <c:pt idx="44">
                  <c:v>2023</c:v>
                </c:pt>
                <c:pt idx="45">
                  <c:v>2024</c:v>
                </c:pt>
                <c:pt idx="46">
                  <c:v>2025</c:v>
                </c:pt>
                <c:pt idx="47">
                  <c:v>2026</c:v>
                </c:pt>
              </c:strCache>
            </c:strRef>
          </c:cat>
          <c:val>
            <c:numRef>
              <c:f>'Full Table Data'!$E$2:$E$52</c:f>
              <c:numCache>
                <c:formatCode>General</c:formatCode>
                <c:ptCount val="47"/>
                <c:pt idx="0">
                  <c:v>9.2899999999999991</c:v>
                </c:pt>
                <c:pt idx="1">
                  <c:v>4.51</c:v>
                </c:pt>
                <c:pt idx="2">
                  <c:v>7.02</c:v>
                </c:pt>
                <c:pt idx="3">
                  <c:v>6.4</c:v>
                </c:pt>
                <c:pt idx="4">
                  <c:v>8.65</c:v>
                </c:pt>
                <c:pt idx="5">
                  <c:v>7.01</c:v>
                </c:pt>
                <c:pt idx="6">
                  <c:v>5.29</c:v>
                </c:pt>
                <c:pt idx="7">
                  <c:v>8.68</c:v>
                </c:pt>
                <c:pt idx="8">
                  <c:v>15.79</c:v>
                </c:pt>
                <c:pt idx="9">
                  <c:v>16.95</c:v>
                </c:pt>
                <c:pt idx="10">
                  <c:v>28.97</c:v>
                </c:pt>
                <c:pt idx="11">
                  <c:v>34.229999999999997</c:v>
                </c:pt>
                <c:pt idx="12">
                  <c:v>22.95</c:v>
                </c:pt>
                <c:pt idx="13">
                  <c:v>22.45</c:v>
                </c:pt>
                <c:pt idx="14">
                  <c:v>18.87</c:v>
                </c:pt>
                <c:pt idx="15">
                  <c:v>28.3</c:v>
                </c:pt>
                <c:pt idx="16">
                  <c:v>23.46</c:v>
                </c:pt>
                <c:pt idx="17">
                  <c:v>18.3</c:v>
                </c:pt>
                <c:pt idx="18">
                  <c:v>14.23</c:v>
                </c:pt>
                <c:pt idx="19">
                  <c:v>9.9700000000000006</c:v>
                </c:pt>
                <c:pt idx="20">
                  <c:v>9.7899999999999991</c:v>
                </c:pt>
                <c:pt idx="21">
                  <c:v>9.15</c:v>
                </c:pt>
                <c:pt idx="22">
                  <c:v>5.26</c:v>
                </c:pt>
                <c:pt idx="23">
                  <c:v>4.67</c:v>
                </c:pt>
                <c:pt idx="24">
                  <c:v>6.75</c:v>
                </c:pt>
                <c:pt idx="25">
                  <c:v>3.56</c:v>
                </c:pt>
                <c:pt idx="26">
                  <c:v>3.9</c:v>
                </c:pt>
                <c:pt idx="27">
                  <c:v>7.95</c:v>
                </c:pt>
                <c:pt idx="28">
                  <c:v>6.06</c:v>
                </c:pt>
                <c:pt idx="29">
                  <c:v>4.2</c:v>
                </c:pt>
                <c:pt idx="30">
                  <c:v>4.87</c:v>
                </c:pt>
                <c:pt idx="31">
                  <c:v>3.93</c:v>
                </c:pt>
                <c:pt idx="32">
                  <c:v>5.66</c:v>
                </c:pt>
                <c:pt idx="33">
                  <c:v>1.71</c:v>
                </c:pt>
                <c:pt idx="34">
                  <c:v>-0.23</c:v>
                </c:pt>
                <c:pt idx="35">
                  <c:v>-7.0000000000000007E-2</c:v>
                </c:pt>
                <c:pt idx="36">
                  <c:v>0.4</c:v>
                </c:pt>
                <c:pt idx="37">
                  <c:v>2.35</c:v>
                </c:pt>
                <c:pt idx="38">
                  <c:v>2.84</c:v>
                </c:pt>
                <c:pt idx="39">
                  <c:v>3.37</c:v>
                </c:pt>
                <c:pt idx="40">
                  <c:v>3.31</c:v>
                </c:pt>
                <c:pt idx="41">
                  <c:v>5.1100000000000003</c:v>
                </c:pt>
                <c:pt idx="42">
                  <c:v>14.62</c:v>
                </c:pt>
                <c:pt idx="43">
                  <c:v>17.14</c:v>
                </c:pt>
                <c:pt idx="44">
                  <c:v>3.71</c:v>
                </c:pt>
                <c:pt idx="45">
                  <c:v>4.46</c:v>
                </c:pt>
                <c:pt idx="46">
                  <c:v>3.47</c:v>
                </c:pt>
              </c:numCache>
            </c:numRef>
          </c:val>
          <c:smooth val="0"/>
          <c:extLst>
            <c:ext xmlns:c16="http://schemas.microsoft.com/office/drawing/2014/chart" uri="{C3380CC4-5D6E-409C-BE32-E72D297353CC}">
              <c16:uniqueId val="{00000000-C701-1A4D-A0AB-719668E6D593}"/>
            </c:ext>
          </c:extLst>
        </c:ser>
        <c:dLbls>
          <c:showLegendKey val="0"/>
          <c:showVal val="0"/>
          <c:showCatName val="0"/>
          <c:showSerName val="0"/>
          <c:showPercent val="0"/>
          <c:showBubbleSize val="0"/>
        </c:dLbls>
        <c:marker val="1"/>
        <c:smooth val="0"/>
        <c:axId val="110030367"/>
        <c:axId val="287054815"/>
      </c:lineChart>
      <c:lineChart>
        <c:grouping val="standard"/>
        <c:varyColors val="0"/>
        <c:ser>
          <c:idx val="1"/>
          <c:order val="0"/>
          <c:tx>
            <c:strRef>
              <c:f>'Full Table Data'!$D$1</c:f>
              <c:strCache>
                <c:ptCount val="1"/>
                <c:pt idx="0">
                  <c:v>Unemployment % Of Total Labor Force</c:v>
                </c:pt>
              </c:strCache>
            </c:strRef>
          </c:tx>
          <c:spPr>
            <a:ln w="28575" cap="rnd">
              <a:solidFill>
                <a:srgbClr val="00B0F0"/>
              </a:solidFill>
              <a:prstDash val="sysDot"/>
              <a:round/>
            </a:ln>
            <a:effectLst>
              <a:outerShdw blurRad="57150" dist="19050" dir="5400000" algn="ctr" rotWithShape="0">
                <a:srgbClr val="000000">
                  <a:alpha val="63000"/>
                </a:srgbClr>
              </a:outerShdw>
            </a:effectLst>
          </c:spPr>
          <c:marker>
            <c:symbol val="none"/>
          </c:marker>
          <c:cat>
            <c:numRef>
              <c:f>'Full Table Data'!$A$2:$A$52</c:f>
              <c:numCache>
                <c:formatCode>General</c:formatCode>
                <c:ptCount val="4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numCache>
            </c:numRef>
          </c:cat>
          <c:val>
            <c:numRef>
              <c:f>'Full Table Data'!$D$2:$D$52</c:f>
              <c:numCache>
                <c:formatCode>General</c:formatCode>
                <c:ptCount val="47"/>
                <c:pt idx="0">
                  <c:v>0</c:v>
                </c:pt>
                <c:pt idx="1">
                  <c:v>0</c:v>
                </c:pt>
                <c:pt idx="2">
                  <c:v>0</c:v>
                </c:pt>
                <c:pt idx="3">
                  <c:v>0</c:v>
                </c:pt>
                <c:pt idx="4">
                  <c:v>0</c:v>
                </c:pt>
                <c:pt idx="5">
                  <c:v>0</c:v>
                </c:pt>
                <c:pt idx="6">
                  <c:v>0</c:v>
                </c:pt>
                <c:pt idx="7">
                  <c:v>0</c:v>
                </c:pt>
                <c:pt idx="8">
                  <c:v>0</c:v>
                </c:pt>
                <c:pt idx="9">
                  <c:v>0</c:v>
                </c:pt>
                <c:pt idx="10">
                  <c:v>0</c:v>
                </c:pt>
                <c:pt idx="11">
                  <c:v>8.5</c:v>
                </c:pt>
                <c:pt idx="12">
                  <c:v>9.9420000000000002</c:v>
                </c:pt>
                <c:pt idx="13">
                  <c:v>12.098000000000001</c:v>
                </c:pt>
                <c:pt idx="14">
                  <c:v>10.847</c:v>
                </c:pt>
                <c:pt idx="15">
                  <c:v>10.167999999999999</c:v>
                </c:pt>
                <c:pt idx="16">
                  <c:v>10.022</c:v>
                </c:pt>
                <c:pt idx="17">
                  <c:v>8.9909999999999997</c:v>
                </c:pt>
                <c:pt idx="18">
                  <c:v>8.9250000000000007</c:v>
                </c:pt>
                <c:pt idx="19">
                  <c:v>6.9290000000000003</c:v>
                </c:pt>
                <c:pt idx="20">
                  <c:v>6.5629999999999997</c:v>
                </c:pt>
                <c:pt idx="21">
                  <c:v>5.6710000000000003</c:v>
                </c:pt>
                <c:pt idx="22">
                  <c:v>5.6079999999999997</c:v>
                </c:pt>
                <c:pt idx="23">
                  <c:v>5.79</c:v>
                </c:pt>
                <c:pt idx="24">
                  <c:v>5.8319999999999999</c:v>
                </c:pt>
                <c:pt idx="25">
                  <c:v>7.1890000000000001</c:v>
                </c:pt>
                <c:pt idx="26">
                  <c:v>7.4939999999999998</c:v>
                </c:pt>
                <c:pt idx="27">
                  <c:v>7.4059999999999997</c:v>
                </c:pt>
                <c:pt idx="28">
                  <c:v>7.8170000000000002</c:v>
                </c:pt>
                <c:pt idx="29">
                  <c:v>10.029999999999999</c:v>
                </c:pt>
                <c:pt idx="30">
                  <c:v>11.172000000000001</c:v>
                </c:pt>
                <c:pt idx="31">
                  <c:v>11.029</c:v>
                </c:pt>
                <c:pt idx="32">
                  <c:v>11.003</c:v>
                </c:pt>
                <c:pt idx="33">
                  <c:v>10.177</c:v>
                </c:pt>
                <c:pt idx="34">
                  <c:v>7.7249999999999996</c:v>
                </c:pt>
                <c:pt idx="35">
                  <c:v>6.8129999999999997</c:v>
                </c:pt>
                <c:pt idx="36">
                  <c:v>5.1150000000000002</c:v>
                </c:pt>
                <c:pt idx="37">
                  <c:v>4.1559999999999997</c:v>
                </c:pt>
                <c:pt idx="38">
                  <c:v>3.7080000000000002</c:v>
                </c:pt>
                <c:pt idx="39">
                  <c:v>3.419</c:v>
                </c:pt>
                <c:pt idx="40">
                  <c:v>4.25</c:v>
                </c:pt>
                <c:pt idx="41">
                  <c:v>4.0449999999999999</c:v>
                </c:pt>
                <c:pt idx="42">
                  <c:v>3.609</c:v>
                </c:pt>
                <c:pt idx="43">
                  <c:v>4.1070000000000002</c:v>
                </c:pt>
                <c:pt idx="44">
                  <c:v>4.4340000000000002</c:v>
                </c:pt>
                <c:pt idx="45">
                  <c:v>0</c:v>
                </c:pt>
                <c:pt idx="46">
                  <c:v>0</c:v>
                </c:pt>
              </c:numCache>
            </c:numRef>
          </c:val>
          <c:smooth val="0"/>
          <c:extLst>
            <c:ext xmlns:c16="http://schemas.microsoft.com/office/drawing/2014/chart" uri="{C3380CC4-5D6E-409C-BE32-E72D297353CC}">
              <c16:uniqueId val="{00000001-C701-1A4D-A0AB-719668E6D593}"/>
            </c:ext>
          </c:extLst>
        </c:ser>
        <c:dLbls>
          <c:showLegendKey val="0"/>
          <c:showVal val="0"/>
          <c:showCatName val="0"/>
          <c:showSerName val="0"/>
          <c:showPercent val="0"/>
          <c:showBubbleSize val="0"/>
        </c:dLbls>
        <c:marker val="1"/>
        <c:smooth val="0"/>
        <c:axId val="381406735"/>
        <c:axId val="143282975"/>
      </c:lineChart>
      <c:dateAx>
        <c:axId val="110030367"/>
        <c:scaling>
          <c:orientation val="minMax"/>
        </c:scaling>
        <c:delete val="0"/>
        <c:axPos val="b"/>
        <c:numFmt formatCode="0"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054815"/>
        <c:crosses val="autoZero"/>
        <c:auto val="0"/>
        <c:lblOffset val="100"/>
        <c:baseTimeUnit val="days"/>
        <c:majorUnit val="5"/>
      </c:dateAx>
      <c:valAx>
        <c:axId val="287054815"/>
        <c:scaling>
          <c:orientation val="minMax"/>
          <c:min val="0"/>
        </c:scaling>
        <c:delete val="0"/>
        <c:axPos val="l"/>
        <c:majorGridlines>
          <c:spPr>
            <a:ln w="9525" cap="flat" cmpd="sng" algn="ctr">
              <a:solidFill>
                <a:schemeClr val="tx1">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Inflation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30367"/>
        <c:crosses val="autoZero"/>
        <c:crossBetween val="between"/>
      </c:valAx>
      <c:valAx>
        <c:axId val="143282975"/>
        <c:scaling>
          <c:orientation val="minMax"/>
          <c:max val="20"/>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Unemployment Rate</a:t>
                </a:r>
                <a:r>
                  <a:rPr lang="en-US" baseline="0"/>
                  <a:t> %</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1406735"/>
        <c:crosses val="max"/>
        <c:crossBetween val="between"/>
      </c:valAx>
      <c:catAx>
        <c:axId val="381406735"/>
        <c:scaling>
          <c:orientation val="minMax"/>
        </c:scaling>
        <c:delete val="1"/>
        <c:axPos val="b"/>
        <c:numFmt formatCode="General" sourceLinked="1"/>
        <c:majorTickMark val="out"/>
        <c:minorTickMark val="none"/>
        <c:tickLblPos val="nextTo"/>
        <c:crossAx val="1432829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GDP vs.</a:t>
            </a:r>
            <a:r>
              <a:rPr lang="en-US" baseline="0"/>
              <a:t> Population (A)</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0"/>
          <c:tx>
            <c:strRef>
              <c:f>'Full Table Data'!$B$1</c:f>
              <c:strCache>
                <c:ptCount val="1"/>
                <c:pt idx="0">
                  <c:v>GDP per capita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'Full Table Data'!$A$2:$A$52</c:f>
              <c:numCache>
                <c:formatCode>General</c:formatCode>
                <c:ptCount val="4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numCache>
            </c:numRef>
          </c:cat>
          <c:val>
            <c:numRef>
              <c:f>'Full Table Data'!$B$2:$B$52</c:f>
              <c:numCache>
                <c:formatCode>General</c:formatCode>
                <c:ptCount val="47"/>
                <c:pt idx="0">
                  <c:v>23.12</c:v>
                </c:pt>
                <c:pt idx="1">
                  <c:v>23.71</c:v>
                </c:pt>
                <c:pt idx="2">
                  <c:v>24.14</c:v>
                </c:pt>
                <c:pt idx="3">
                  <c:v>21.91</c:v>
                </c:pt>
                <c:pt idx="4">
                  <c:v>21.24</c:v>
                </c:pt>
                <c:pt idx="5">
                  <c:v>21.51</c:v>
                </c:pt>
                <c:pt idx="6">
                  <c:v>24.78</c:v>
                </c:pt>
                <c:pt idx="7">
                  <c:v>27.23</c:v>
                </c:pt>
                <c:pt idx="8">
                  <c:v>29.8</c:v>
                </c:pt>
                <c:pt idx="9">
                  <c:v>30.42</c:v>
                </c:pt>
                <c:pt idx="10">
                  <c:v>34.479999999999997</c:v>
                </c:pt>
                <c:pt idx="11">
                  <c:v>34.869999999999997</c:v>
                </c:pt>
                <c:pt idx="12">
                  <c:v>38.86</c:v>
                </c:pt>
                <c:pt idx="13">
                  <c:v>40.26</c:v>
                </c:pt>
                <c:pt idx="14">
                  <c:v>43.31</c:v>
                </c:pt>
                <c:pt idx="15">
                  <c:v>46.58</c:v>
                </c:pt>
                <c:pt idx="16">
                  <c:v>46.83</c:v>
                </c:pt>
                <c:pt idx="17">
                  <c:v>47.4</c:v>
                </c:pt>
                <c:pt idx="18">
                  <c:v>48.78</c:v>
                </c:pt>
                <c:pt idx="19">
                  <c:v>49.16</c:v>
                </c:pt>
                <c:pt idx="20">
                  <c:v>47.28</c:v>
                </c:pt>
                <c:pt idx="21">
                  <c:v>53.8</c:v>
                </c:pt>
                <c:pt idx="22">
                  <c:v>67.64</c:v>
                </c:pt>
                <c:pt idx="23">
                  <c:v>85.19</c:v>
                </c:pt>
                <c:pt idx="24">
                  <c:v>104.02</c:v>
                </c:pt>
                <c:pt idx="25">
                  <c:v>113.1</c:v>
                </c:pt>
                <c:pt idx="26">
                  <c:v>115.6</c:v>
                </c:pt>
                <c:pt idx="27">
                  <c:v>140.12</c:v>
                </c:pt>
                <c:pt idx="28">
                  <c:v>158.22999999999999</c:v>
                </c:pt>
                <c:pt idx="29">
                  <c:v>130.81</c:v>
                </c:pt>
                <c:pt idx="30">
                  <c:v>131.9</c:v>
                </c:pt>
                <c:pt idx="31">
                  <c:v>141.71</c:v>
                </c:pt>
                <c:pt idx="32">
                  <c:v>128.47</c:v>
                </c:pt>
                <c:pt idx="33">
                  <c:v>135.65</c:v>
                </c:pt>
                <c:pt idx="34">
                  <c:v>141.13</c:v>
                </c:pt>
                <c:pt idx="35">
                  <c:v>125.24</c:v>
                </c:pt>
                <c:pt idx="36">
                  <c:v>128.97999999999999</c:v>
                </c:pt>
                <c:pt idx="37">
                  <c:v>143.34</c:v>
                </c:pt>
                <c:pt idx="38">
                  <c:v>161.19</c:v>
                </c:pt>
                <c:pt idx="39">
                  <c:v>164.93</c:v>
                </c:pt>
                <c:pt idx="40">
                  <c:v>158.47</c:v>
                </c:pt>
                <c:pt idx="41">
                  <c:v>183.28</c:v>
                </c:pt>
                <c:pt idx="42">
                  <c:v>178.32</c:v>
                </c:pt>
                <c:pt idx="43">
                  <c:v>214.1</c:v>
                </c:pt>
                <c:pt idx="44">
                  <c:v>223.06</c:v>
                </c:pt>
                <c:pt idx="45">
                  <c:v>247.76</c:v>
                </c:pt>
                <c:pt idx="46">
                  <c:v>269.92</c:v>
                </c:pt>
              </c:numCache>
            </c:numRef>
          </c:val>
          <c:extLst>
            <c:ext xmlns:c16="http://schemas.microsoft.com/office/drawing/2014/chart" uri="{C3380CC4-5D6E-409C-BE32-E72D297353CC}">
              <c16:uniqueId val="{00000000-C3FE-7549-951E-C099A3912719}"/>
            </c:ext>
          </c:extLst>
        </c:ser>
        <c:dLbls>
          <c:showLegendKey val="0"/>
          <c:showVal val="0"/>
          <c:showCatName val="0"/>
          <c:showSerName val="0"/>
          <c:showPercent val="0"/>
          <c:showBubbleSize val="0"/>
        </c:dLbls>
        <c:gapWidth val="150"/>
        <c:axId val="1931638816"/>
        <c:axId val="217629663"/>
      </c:barChart>
      <c:lineChart>
        <c:grouping val="standard"/>
        <c:varyColors val="0"/>
        <c:ser>
          <c:idx val="2"/>
          <c:order val="1"/>
          <c:tx>
            <c:strRef>
              <c:f>'Full Table Data'!$G$1</c:f>
              <c:strCache>
                <c:ptCount val="1"/>
                <c:pt idx="0">
                  <c:v>Population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'Full Table Data'!$G$2:$G$52</c:f>
              <c:numCache>
                <c:formatCode>General</c:formatCode>
                <c:ptCount val="47"/>
                <c:pt idx="0">
                  <c:v>10.71</c:v>
                </c:pt>
                <c:pt idx="1">
                  <c:v>10.71</c:v>
                </c:pt>
                <c:pt idx="2">
                  <c:v>10.7</c:v>
                </c:pt>
                <c:pt idx="3">
                  <c:v>10.67</c:v>
                </c:pt>
                <c:pt idx="4">
                  <c:v>10.64</c:v>
                </c:pt>
                <c:pt idx="5">
                  <c:v>10.6</c:v>
                </c:pt>
                <c:pt idx="6">
                  <c:v>10.56</c:v>
                </c:pt>
                <c:pt idx="7">
                  <c:v>10.51</c:v>
                </c:pt>
                <c:pt idx="8">
                  <c:v>10.46</c:v>
                </c:pt>
                <c:pt idx="9">
                  <c:v>10.42</c:v>
                </c:pt>
                <c:pt idx="10">
                  <c:v>10.38</c:v>
                </c:pt>
                <c:pt idx="11">
                  <c:v>10.37</c:v>
                </c:pt>
                <c:pt idx="12">
                  <c:v>10.37</c:v>
                </c:pt>
                <c:pt idx="13">
                  <c:v>10.37</c:v>
                </c:pt>
                <c:pt idx="14">
                  <c:v>10.35</c:v>
                </c:pt>
                <c:pt idx="15">
                  <c:v>10.34</c:v>
                </c:pt>
                <c:pt idx="16">
                  <c:v>10.32</c:v>
                </c:pt>
                <c:pt idx="17">
                  <c:v>10.3</c:v>
                </c:pt>
                <c:pt idx="18">
                  <c:v>10.28</c:v>
                </c:pt>
                <c:pt idx="19">
                  <c:v>10.25</c:v>
                </c:pt>
                <c:pt idx="20">
                  <c:v>10.220000000000001</c:v>
                </c:pt>
                <c:pt idx="21">
                  <c:v>10.199999999999999</c:v>
                </c:pt>
                <c:pt idx="22">
                  <c:v>10.18</c:v>
                </c:pt>
                <c:pt idx="23">
                  <c:v>10.14</c:v>
                </c:pt>
                <c:pt idx="24">
                  <c:v>10.119999999999999</c:v>
                </c:pt>
                <c:pt idx="25">
                  <c:v>10.1</c:v>
                </c:pt>
                <c:pt idx="26">
                  <c:v>10.08</c:v>
                </c:pt>
                <c:pt idx="27">
                  <c:v>10.07</c:v>
                </c:pt>
                <c:pt idx="28">
                  <c:v>10.050000000000001</c:v>
                </c:pt>
                <c:pt idx="29">
                  <c:v>10.029999999999999</c:v>
                </c:pt>
                <c:pt idx="30">
                  <c:v>10.01</c:v>
                </c:pt>
                <c:pt idx="31">
                  <c:v>9.99</c:v>
                </c:pt>
                <c:pt idx="32">
                  <c:v>9.93</c:v>
                </c:pt>
                <c:pt idx="33">
                  <c:v>9.9</c:v>
                </c:pt>
                <c:pt idx="34">
                  <c:v>9.85</c:v>
                </c:pt>
                <c:pt idx="35">
                  <c:v>9.82</c:v>
                </c:pt>
                <c:pt idx="36">
                  <c:v>9.7799999999999994</c:v>
                </c:pt>
                <c:pt idx="37">
                  <c:v>9.74</c:v>
                </c:pt>
                <c:pt idx="38">
                  <c:v>9.7100000000000009</c:v>
                </c:pt>
                <c:pt idx="39">
                  <c:v>9.6999999999999993</c:v>
                </c:pt>
                <c:pt idx="40">
                  <c:v>9.69</c:v>
                </c:pt>
                <c:pt idx="41">
                  <c:v>9.65</c:v>
                </c:pt>
                <c:pt idx="42">
                  <c:v>9.61</c:v>
                </c:pt>
                <c:pt idx="43">
                  <c:v>9.6</c:v>
                </c:pt>
                <c:pt idx="44">
                  <c:v>9.59</c:v>
                </c:pt>
                <c:pt idx="45">
                  <c:v>9.56</c:v>
                </c:pt>
                <c:pt idx="46">
                  <c:v>9.5399999999999991</c:v>
                </c:pt>
              </c:numCache>
            </c:numRef>
          </c:val>
          <c:smooth val="0"/>
          <c:extLst>
            <c:ext xmlns:c16="http://schemas.microsoft.com/office/drawing/2014/chart" uri="{C3380CC4-5D6E-409C-BE32-E72D297353CC}">
              <c16:uniqueId val="{00000001-C3FE-7549-951E-C099A3912719}"/>
            </c:ext>
          </c:extLst>
        </c:ser>
        <c:dLbls>
          <c:showLegendKey val="0"/>
          <c:showVal val="0"/>
          <c:showCatName val="0"/>
          <c:showSerName val="0"/>
          <c:showPercent val="0"/>
          <c:showBubbleSize val="0"/>
        </c:dLbls>
        <c:marker val="1"/>
        <c:smooth val="0"/>
        <c:axId val="305486319"/>
        <c:axId val="305476047"/>
      </c:lineChart>
      <c:catAx>
        <c:axId val="1931638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7629663"/>
        <c:crosses val="autoZero"/>
        <c:auto val="0"/>
        <c:lblAlgn val="ctr"/>
        <c:lblOffset val="100"/>
        <c:tickLblSkip val="5"/>
        <c:noMultiLvlLbl val="0"/>
      </c:catAx>
      <c:valAx>
        <c:axId val="2176296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GDP (Millions</a:t>
                </a:r>
                <a:r>
                  <a:rPr lang="en-US" baseline="0"/>
                  <a:t> USD)</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1638816"/>
        <c:crosses val="autoZero"/>
        <c:crossBetween val="between"/>
      </c:valAx>
      <c:valAx>
        <c:axId val="305476047"/>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Population (Millions)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486319"/>
        <c:crosses val="max"/>
        <c:crossBetween val="between"/>
      </c:valAx>
      <c:catAx>
        <c:axId val="305486319"/>
        <c:scaling>
          <c:orientation val="minMax"/>
        </c:scaling>
        <c:delete val="1"/>
        <c:axPos val="b"/>
        <c:majorTickMark val="out"/>
        <c:minorTickMark val="none"/>
        <c:tickLblPos val="nextTo"/>
        <c:crossAx val="3054760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CPI Rate(C)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ndard"/>
        <c:varyColors val="0"/>
        <c:ser>
          <c:idx val="1"/>
          <c:order val="0"/>
          <c:tx>
            <c:strRef>
              <c:f>'Full Table Data'!$F$1</c:f>
              <c:strCache>
                <c:ptCount val="1"/>
                <c:pt idx="0">
                  <c:v>CPI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'Full Table Data'!$A$2:$A$52</c:f>
              <c:numCache>
                <c:formatCode>General</c:formatCode>
                <c:ptCount val="4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numCache>
            </c:numRef>
          </c:cat>
          <c:val>
            <c:numRef>
              <c:f>'Full Table Data'!$F$2:$F$52</c:f>
              <c:numCache>
                <c:formatCode>General</c:formatCode>
                <c:ptCount val="47"/>
                <c:pt idx="0">
                  <c:v>3.33</c:v>
                </c:pt>
                <c:pt idx="1">
                  <c:v>3.49</c:v>
                </c:pt>
                <c:pt idx="2">
                  <c:v>3.72</c:v>
                </c:pt>
                <c:pt idx="3">
                  <c:v>4</c:v>
                </c:pt>
                <c:pt idx="4">
                  <c:v>4.33</c:v>
                </c:pt>
                <c:pt idx="5">
                  <c:v>4.63</c:v>
                </c:pt>
                <c:pt idx="6">
                  <c:v>4.88</c:v>
                </c:pt>
                <c:pt idx="7">
                  <c:v>5.3</c:v>
                </c:pt>
                <c:pt idx="8">
                  <c:v>6.14</c:v>
                </c:pt>
                <c:pt idx="9">
                  <c:v>7.19</c:v>
                </c:pt>
                <c:pt idx="10">
                  <c:v>9.23</c:v>
                </c:pt>
                <c:pt idx="11">
                  <c:v>12.44</c:v>
                </c:pt>
                <c:pt idx="12">
                  <c:v>15.39</c:v>
                </c:pt>
                <c:pt idx="13">
                  <c:v>18.84</c:v>
                </c:pt>
                <c:pt idx="14">
                  <c:v>22.4</c:v>
                </c:pt>
                <c:pt idx="15">
                  <c:v>28.74</c:v>
                </c:pt>
                <c:pt idx="16">
                  <c:v>35.479999999999997</c:v>
                </c:pt>
                <c:pt idx="17">
                  <c:v>41.98</c:v>
                </c:pt>
                <c:pt idx="18">
                  <c:v>47.92</c:v>
                </c:pt>
                <c:pt idx="19">
                  <c:v>52.71</c:v>
                </c:pt>
                <c:pt idx="20">
                  <c:v>57.88</c:v>
                </c:pt>
                <c:pt idx="21">
                  <c:v>63.15</c:v>
                </c:pt>
                <c:pt idx="22">
                  <c:v>66.48</c:v>
                </c:pt>
                <c:pt idx="23">
                  <c:v>69.58</c:v>
                </c:pt>
                <c:pt idx="24">
                  <c:v>74.27</c:v>
                </c:pt>
                <c:pt idx="25">
                  <c:v>76.92</c:v>
                </c:pt>
                <c:pt idx="26">
                  <c:v>79.94</c:v>
                </c:pt>
                <c:pt idx="27">
                  <c:v>86.3</c:v>
                </c:pt>
                <c:pt idx="28">
                  <c:v>91.51</c:v>
                </c:pt>
                <c:pt idx="29">
                  <c:v>95.37</c:v>
                </c:pt>
                <c:pt idx="30">
                  <c:v>100</c:v>
                </c:pt>
                <c:pt idx="31">
                  <c:v>103.93</c:v>
                </c:pt>
                <c:pt idx="32">
                  <c:v>109.8</c:v>
                </c:pt>
                <c:pt idx="33">
                  <c:v>111.71</c:v>
                </c:pt>
                <c:pt idx="34">
                  <c:v>111.45</c:v>
                </c:pt>
                <c:pt idx="35">
                  <c:v>111.38</c:v>
                </c:pt>
                <c:pt idx="36">
                  <c:v>111.82</c:v>
                </c:pt>
                <c:pt idx="37">
                  <c:v>114.45</c:v>
                </c:pt>
                <c:pt idx="38">
                  <c:v>117.71</c:v>
                </c:pt>
                <c:pt idx="39">
                  <c:v>121.64</c:v>
                </c:pt>
                <c:pt idx="40">
                  <c:v>125.69</c:v>
                </c:pt>
                <c:pt idx="41">
                  <c:v>132.11000000000001</c:v>
                </c:pt>
                <c:pt idx="42">
                  <c:v>151.41</c:v>
                </c:pt>
                <c:pt idx="43">
                  <c:v>177.34</c:v>
                </c:pt>
                <c:pt idx="44">
                  <c:v>183.91</c:v>
                </c:pt>
                <c:pt idx="45">
                  <c:v>0</c:v>
                </c:pt>
                <c:pt idx="46">
                  <c:v>0</c:v>
                </c:pt>
              </c:numCache>
            </c:numRef>
          </c:val>
          <c:extLst>
            <c:ext xmlns:c16="http://schemas.microsoft.com/office/drawing/2014/chart" uri="{C3380CC4-5D6E-409C-BE32-E72D297353CC}">
              <c16:uniqueId val="{00000000-49E0-E544-B0BC-C8E5CF6DDA74}"/>
            </c:ext>
          </c:extLst>
        </c:ser>
        <c:dLbls>
          <c:showLegendKey val="0"/>
          <c:showVal val="0"/>
          <c:showCatName val="0"/>
          <c:showSerName val="0"/>
          <c:showPercent val="0"/>
          <c:showBubbleSize val="0"/>
        </c:dLbls>
        <c:axId val="1594005232"/>
        <c:axId val="1594100944"/>
      </c:areaChart>
      <c:catAx>
        <c:axId val="1594005232"/>
        <c:scaling>
          <c:orientation val="minMax"/>
        </c:scaling>
        <c:delete val="0"/>
        <c:axPos val="b"/>
        <c:numFmt formatCode="0"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4100944"/>
        <c:crosses val="autoZero"/>
        <c:auto val="0"/>
        <c:lblAlgn val="ctr"/>
        <c:lblOffset val="100"/>
        <c:tickLblSkip val="5"/>
        <c:noMultiLvlLbl val="0"/>
      </c:catAx>
      <c:valAx>
        <c:axId val="15941009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CPI (in points)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4005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13" Type="http://schemas.openxmlformats.org/officeDocument/2006/relationships/hyperlink" Target="#'CPI'!A1"/><Relationship Id="rId3" Type="http://schemas.openxmlformats.org/officeDocument/2006/relationships/hyperlink" Target="#'Inflation Rate'!A1"/><Relationship Id="rId7" Type="http://schemas.openxmlformats.org/officeDocument/2006/relationships/hyperlink" Target="#GDP!A1"/><Relationship Id="rId12" Type="http://schemas.openxmlformats.org/officeDocument/2006/relationships/image" Target="../media/image6.jpeg"/><Relationship Id="rId17" Type="http://schemas.openxmlformats.org/officeDocument/2006/relationships/chart" Target="../charts/chart3.xml"/><Relationship Id="rId2" Type="http://schemas.openxmlformats.org/officeDocument/2006/relationships/image" Target="../media/image1.png"/><Relationship Id="rId16" Type="http://schemas.openxmlformats.org/officeDocument/2006/relationships/chart" Target="../charts/chart2.xml"/><Relationship Id="rId1" Type="http://schemas.openxmlformats.org/officeDocument/2006/relationships/hyperlink" Target="#'Full Table Data'!A1"/><Relationship Id="rId6" Type="http://schemas.openxmlformats.org/officeDocument/2006/relationships/image" Target="../media/image3.jpeg"/><Relationship Id="rId11" Type="http://schemas.openxmlformats.org/officeDocument/2006/relationships/hyperlink" Target="#Popluation!A1"/><Relationship Id="rId5" Type="http://schemas.openxmlformats.org/officeDocument/2006/relationships/hyperlink" Target="#Unemployment!A1"/><Relationship Id="rId15" Type="http://schemas.openxmlformats.org/officeDocument/2006/relationships/chart" Target="../charts/chart1.xml"/><Relationship Id="rId10" Type="http://schemas.openxmlformats.org/officeDocument/2006/relationships/image" Target="../media/image5.jpeg"/><Relationship Id="rId4" Type="http://schemas.openxmlformats.org/officeDocument/2006/relationships/image" Target="../media/image2.jpeg"/><Relationship Id="rId9" Type="http://schemas.openxmlformats.org/officeDocument/2006/relationships/hyperlink" Target="#'GDP Growth'!A1"/><Relationship Id="rId1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150979</xdr:colOff>
      <xdr:row>50</xdr:row>
      <xdr:rowOff>133217</xdr:rowOff>
    </xdr:to>
    <xdr:sp macro="" textlink="">
      <xdr:nvSpPr>
        <xdr:cNvPr id="2" name="Rectangle 1">
          <a:extLst>
            <a:ext uri="{FF2B5EF4-FFF2-40B4-BE49-F238E27FC236}">
              <a16:creationId xmlns:a16="http://schemas.microsoft.com/office/drawing/2014/main" id="{192E51E9-B2BB-BFDB-BC19-CE83BDB2351A}"/>
            </a:ext>
          </a:extLst>
        </xdr:cNvPr>
        <xdr:cNvSpPr/>
      </xdr:nvSpPr>
      <xdr:spPr>
        <a:xfrm>
          <a:off x="0" y="0"/>
          <a:ext cx="1802867" cy="9458392"/>
        </a:xfrm>
        <a:prstGeom prst="rect">
          <a:avLst/>
        </a:prstGeom>
        <a:solidFill>
          <a:schemeClr val="tx1">
            <a:lumMod val="95000"/>
            <a:lumOff val="5000"/>
          </a:schemeClr>
        </a:solidFill>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88811</xdr:colOff>
      <xdr:row>0</xdr:row>
      <xdr:rowOff>88812</xdr:rowOff>
    </xdr:from>
    <xdr:to>
      <xdr:col>2</xdr:col>
      <xdr:colOff>79930</xdr:colOff>
      <xdr:row>6</xdr:row>
      <xdr:rowOff>8882</xdr:rowOff>
    </xdr:to>
    <xdr:pic>
      <xdr:nvPicPr>
        <xdr:cNvPr id="6" name="Picture 5">
          <a:hlinkClick xmlns:r="http://schemas.openxmlformats.org/officeDocument/2006/relationships" r:id="rId1"/>
          <a:extLst>
            <a:ext uri="{FF2B5EF4-FFF2-40B4-BE49-F238E27FC236}">
              <a16:creationId xmlns:a16="http://schemas.microsoft.com/office/drawing/2014/main" id="{1E616FA0-973D-EDB5-94EC-6801EA2B8F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811" y="88812"/>
          <a:ext cx="1643007" cy="1039091"/>
        </a:xfrm>
        <a:prstGeom prst="rect">
          <a:avLst/>
        </a:prstGeom>
      </xdr:spPr>
    </xdr:pic>
    <xdr:clientData/>
  </xdr:twoCellAnchor>
  <xdr:twoCellAnchor>
    <xdr:from>
      <xdr:col>0</xdr:col>
      <xdr:colOff>328601</xdr:colOff>
      <xdr:row>9</xdr:row>
      <xdr:rowOff>142098</xdr:rowOff>
    </xdr:from>
    <xdr:to>
      <xdr:col>1</xdr:col>
      <xdr:colOff>559510</xdr:colOff>
      <xdr:row>10</xdr:row>
      <xdr:rowOff>177622</xdr:rowOff>
    </xdr:to>
    <xdr:sp macro="" textlink="">
      <xdr:nvSpPr>
        <xdr:cNvPr id="7" name="TextBox 6">
          <a:hlinkClick xmlns:r="http://schemas.openxmlformats.org/officeDocument/2006/relationships" r:id="rId3"/>
          <a:extLst>
            <a:ext uri="{FF2B5EF4-FFF2-40B4-BE49-F238E27FC236}">
              <a16:creationId xmlns:a16="http://schemas.microsoft.com/office/drawing/2014/main" id="{365ABFF9-5AD3-42BE-ED5F-71FD773DE073}"/>
            </a:ext>
          </a:extLst>
        </xdr:cNvPr>
        <xdr:cNvSpPr txBox="1"/>
      </xdr:nvSpPr>
      <xdr:spPr>
        <a:xfrm>
          <a:off x="328601" y="1820629"/>
          <a:ext cx="1056853" cy="222028"/>
        </a:xfrm>
        <a:prstGeom prst="rect">
          <a:avLst/>
        </a:prstGeom>
        <a:solidFill>
          <a:schemeClr val="tx1">
            <a:lumMod val="85000"/>
            <a:lumOff val="1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solidFill>
                <a:schemeClr val="bg1"/>
              </a:solidFill>
              <a:latin typeface="+mn-lt"/>
              <a:ea typeface="+mn-ea"/>
              <a:cs typeface="+mn-cs"/>
            </a:rPr>
            <a:t>Inflation Rate</a:t>
          </a:r>
        </a:p>
      </xdr:txBody>
    </xdr:sp>
    <xdr:clientData/>
  </xdr:twoCellAnchor>
  <xdr:twoCellAnchor editAs="oneCell">
    <xdr:from>
      <xdr:col>0</xdr:col>
      <xdr:colOff>452936</xdr:colOff>
      <xdr:row>6</xdr:row>
      <xdr:rowOff>83795</xdr:rowOff>
    </xdr:from>
    <xdr:to>
      <xdr:col>1</xdr:col>
      <xdr:colOff>489881</xdr:colOff>
      <xdr:row>9</xdr:row>
      <xdr:rowOff>100397</xdr:rowOff>
    </xdr:to>
    <xdr:pic>
      <xdr:nvPicPr>
        <xdr:cNvPr id="9" name="Picture 8" descr="Close-up of graph">
          <a:hlinkClick xmlns:r="http://schemas.openxmlformats.org/officeDocument/2006/relationships" r:id="rId3"/>
          <a:extLst>
            <a:ext uri="{FF2B5EF4-FFF2-40B4-BE49-F238E27FC236}">
              <a16:creationId xmlns:a16="http://schemas.microsoft.com/office/drawing/2014/main" id="{FF772E9F-128A-2DFC-1375-1F429748197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52936" y="1202816"/>
          <a:ext cx="862889" cy="576112"/>
        </a:xfrm>
        <a:prstGeom prst="rect">
          <a:avLst/>
        </a:prstGeom>
      </xdr:spPr>
    </xdr:pic>
    <xdr:clientData/>
  </xdr:twoCellAnchor>
  <xdr:twoCellAnchor editAs="oneCell">
    <xdr:from>
      <xdr:col>0</xdr:col>
      <xdr:colOff>383307</xdr:colOff>
      <xdr:row>11</xdr:row>
      <xdr:rowOff>62169</xdr:rowOff>
    </xdr:from>
    <xdr:to>
      <xdr:col>1</xdr:col>
      <xdr:colOff>515839</xdr:colOff>
      <xdr:row>14</xdr:row>
      <xdr:rowOff>142278</xdr:rowOff>
    </xdr:to>
    <xdr:pic>
      <xdr:nvPicPr>
        <xdr:cNvPr id="11" name="Picture 10" descr="Office with clear glass">
          <a:hlinkClick xmlns:r="http://schemas.openxmlformats.org/officeDocument/2006/relationships" r:id="rId5"/>
          <a:extLst>
            <a:ext uri="{FF2B5EF4-FFF2-40B4-BE49-F238E27FC236}">
              <a16:creationId xmlns:a16="http://schemas.microsoft.com/office/drawing/2014/main" id="{B8022167-EB02-304F-844A-20EC9764C48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383307" y="2113707"/>
          <a:ext cx="958476" cy="639620"/>
        </a:xfrm>
        <a:prstGeom prst="rect">
          <a:avLst/>
        </a:prstGeom>
      </xdr:spPr>
    </xdr:pic>
    <xdr:clientData/>
  </xdr:twoCellAnchor>
  <xdr:twoCellAnchor>
    <xdr:from>
      <xdr:col>0</xdr:col>
      <xdr:colOff>186503</xdr:colOff>
      <xdr:row>15</xdr:row>
      <xdr:rowOff>17763</xdr:rowOff>
    </xdr:from>
    <xdr:to>
      <xdr:col>1</xdr:col>
      <xdr:colOff>728252</xdr:colOff>
      <xdr:row>16</xdr:row>
      <xdr:rowOff>79931</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546F7AFA-4FBE-7177-8FFD-E25F653105F4}"/>
            </a:ext>
          </a:extLst>
        </xdr:cNvPr>
        <xdr:cNvSpPr txBox="1"/>
      </xdr:nvSpPr>
      <xdr:spPr>
        <a:xfrm>
          <a:off x="186503" y="2815315"/>
          <a:ext cx="1367693" cy="248672"/>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Unemployemt Rate</a:t>
          </a:r>
        </a:p>
      </xdr:txBody>
    </xdr:sp>
    <xdr:clientData/>
  </xdr:twoCellAnchor>
  <xdr:twoCellAnchor editAs="oneCell">
    <xdr:from>
      <xdr:col>0</xdr:col>
      <xdr:colOff>399649</xdr:colOff>
      <xdr:row>16</xdr:row>
      <xdr:rowOff>171701</xdr:rowOff>
    </xdr:from>
    <xdr:to>
      <xdr:col>1</xdr:col>
      <xdr:colOff>481000</xdr:colOff>
      <xdr:row>20</xdr:row>
      <xdr:rowOff>30550</xdr:rowOff>
    </xdr:to>
    <xdr:pic>
      <xdr:nvPicPr>
        <xdr:cNvPr id="14" name="Picture 13" descr="Stock market trading screen">
          <a:hlinkClick xmlns:r="http://schemas.openxmlformats.org/officeDocument/2006/relationships" r:id="rId7"/>
          <a:extLst>
            <a:ext uri="{FF2B5EF4-FFF2-40B4-BE49-F238E27FC236}">
              <a16:creationId xmlns:a16="http://schemas.microsoft.com/office/drawing/2014/main" id="{C41D86B5-9302-6DC1-8275-260F706F327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649" y="3155757"/>
          <a:ext cx="907295" cy="604863"/>
        </a:xfrm>
        <a:prstGeom prst="rect">
          <a:avLst/>
        </a:prstGeom>
      </xdr:spPr>
    </xdr:pic>
    <xdr:clientData/>
  </xdr:twoCellAnchor>
  <xdr:twoCellAnchor>
    <xdr:from>
      <xdr:col>0</xdr:col>
      <xdr:colOff>182786</xdr:colOff>
      <xdr:row>20</xdr:row>
      <xdr:rowOff>78784</xdr:rowOff>
    </xdr:from>
    <xdr:to>
      <xdr:col>1</xdr:col>
      <xdr:colOff>631656</xdr:colOff>
      <xdr:row>21</xdr:row>
      <xdr:rowOff>149834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11353198-B3F9-F079-1ADD-D68CD03FA019}"/>
            </a:ext>
          </a:extLst>
        </xdr:cNvPr>
        <xdr:cNvSpPr txBox="1"/>
      </xdr:nvSpPr>
      <xdr:spPr>
        <a:xfrm>
          <a:off x="182786" y="3888784"/>
          <a:ext cx="1170765" cy="26155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GDP Per Capita</a:t>
          </a:r>
        </a:p>
      </xdr:txBody>
    </xdr:sp>
    <xdr:clientData/>
  </xdr:twoCellAnchor>
  <xdr:twoCellAnchor editAs="oneCell">
    <xdr:from>
      <xdr:col>0</xdr:col>
      <xdr:colOff>315282</xdr:colOff>
      <xdr:row>22</xdr:row>
      <xdr:rowOff>44406</xdr:rowOff>
    </xdr:from>
    <xdr:to>
      <xdr:col>1</xdr:col>
      <xdr:colOff>507646</xdr:colOff>
      <xdr:row>25</xdr:row>
      <xdr:rowOff>163768</xdr:rowOff>
    </xdr:to>
    <xdr:pic>
      <xdr:nvPicPr>
        <xdr:cNvPr id="17" name="Picture 16" descr="Multi-colored graphs and numbers">
          <a:hlinkClick xmlns:r="http://schemas.openxmlformats.org/officeDocument/2006/relationships" r:id="rId9"/>
          <a:extLst>
            <a:ext uri="{FF2B5EF4-FFF2-40B4-BE49-F238E27FC236}">
              <a16:creationId xmlns:a16="http://schemas.microsoft.com/office/drawing/2014/main" id="{96F398B0-F8BD-6DB1-16E7-318A14A5A7A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15282" y="4147483"/>
          <a:ext cx="1018308" cy="678872"/>
        </a:xfrm>
        <a:prstGeom prst="rect">
          <a:avLst/>
        </a:prstGeom>
      </xdr:spPr>
    </xdr:pic>
    <xdr:clientData/>
  </xdr:twoCellAnchor>
  <xdr:twoCellAnchor>
    <xdr:from>
      <xdr:col>0</xdr:col>
      <xdr:colOff>330104</xdr:colOff>
      <xdr:row>26</xdr:row>
      <xdr:rowOff>8881</xdr:rowOff>
    </xdr:from>
    <xdr:to>
      <xdr:col>1</xdr:col>
      <xdr:colOff>502517</xdr:colOff>
      <xdr:row>27</xdr:row>
      <xdr:rowOff>71050</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1264061E-64BA-54CC-BEFB-5B2442099D69}"/>
            </a:ext>
          </a:extLst>
        </xdr:cNvPr>
        <xdr:cNvSpPr txBox="1"/>
      </xdr:nvSpPr>
      <xdr:spPr>
        <a:xfrm>
          <a:off x="330104" y="4997514"/>
          <a:ext cx="994715" cy="25404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GDP</a:t>
          </a:r>
          <a:r>
            <a:rPr lang="en-US" sz="1100" baseline="0">
              <a:solidFill>
                <a:schemeClr val="bg1"/>
              </a:solidFill>
            </a:rPr>
            <a:t> Growth</a:t>
          </a:r>
          <a:r>
            <a:rPr lang="en-US" sz="1100">
              <a:solidFill>
                <a:schemeClr val="bg1"/>
              </a:solidFill>
            </a:rPr>
            <a:t> Growth</a:t>
          </a:r>
          <a:endParaRPr lang="en-US" sz="1100"/>
        </a:p>
      </xdr:txBody>
    </xdr:sp>
    <xdr:clientData/>
  </xdr:twoCellAnchor>
  <xdr:twoCellAnchor editAs="oneCell">
    <xdr:from>
      <xdr:col>0</xdr:col>
      <xdr:colOff>286005</xdr:colOff>
      <xdr:row>27</xdr:row>
      <xdr:rowOff>142098</xdr:rowOff>
    </xdr:from>
    <xdr:to>
      <xdr:col>1</xdr:col>
      <xdr:colOff>454357</xdr:colOff>
      <xdr:row>31</xdr:row>
      <xdr:rowOff>59205</xdr:rowOff>
    </xdr:to>
    <xdr:pic>
      <xdr:nvPicPr>
        <xdr:cNvPr id="20" name="Picture 19" descr="Close up photo of colorful graph data">
          <a:hlinkClick xmlns:r="http://schemas.openxmlformats.org/officeDocument/2006/relationships" r:id="rId11"/>
          <a:extLst>
            <a:ext uri="{FF2B5EF4-FFF2-40B4-BE49-F238E27FC236}">
              <a16:creationId xmlns:a16="http://schemas.microsoft.com/office/drawing/2014/main" id="{EF5108D5-8115-CA27-9669-1412A37CD68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86005" y="5177692"/>
          <a:ext cx="994296" cy="663121"/>
        </a:xfrm>
        <a:prstGeom prst="rect">
          <a:avLst/>
        </a:prstGeom>
      </xdr:spPr>
    </xdr:pic>
    <xdr:clientData/>
  </xdr:twoCellAnchor>
  <xdr:twoCellAnchor>
    <xdr:from>
      <xdr:col>0</xdr:col>
      <xdr:colOff>288496</xdr:colOff>
      <xdr:row>31</xdr:row>
      <xdr:rowOff>134361</xdr:rowOff>
    </xdr:from>
    <xdr:to>
      <xdr:col>1</xdr:col>
      <xdr:colOff>471237</xdr:colOff>
      <xdr:row>32</xdr:row>
      <xdr:rowOff>180472</xdr:rowOff>
    </xdr:to>
    <xdr:sp macro="" textlink="">
      <xdr:nvSpPr>
        <xdr:cNvPr id="21" name="TextBox 20">
          <a:hlinkClick xmlns:r="http://schemas.openxmlformats.org/officeDocument/2006/relationships" r:id="rId11"/>
          <a:extLst>
            <a:ext uri="{FF2B5EF4-FFF2-40B4-BE49-F238E27FC236}">
              <a16:creationId xmlns:a16="http://schemas.microsoft.com/office/drawing/2014/main" id="{AA4F26F9-E82D-FD52-EFB8-98D4441A6EDB}"/>
            </a:ext>
          </a:extLst>
        </xdr:cNvPr>
        <xdr:cNvSpPr txBox="1"/>
      </xdr:nvSpPr>
      <xdr:spPr>
        <a:xfrm>
          <a:off x="288496" y="6039861"/>
          <a:ext cx="904636" cy="236611"/>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Population</a:t>
          </a:r>
        </a:p>
      </xdr:txBody>
    </xdr:sp>
    <xdr:clientData/>
  </xdr:twoCellAnchor>
  <xdr:twoCellAnchor editAs="oneCell">
    <xdr:from>
      <xdr:col>0</xdr:col>
      <xdr:colOff>266433</xdr:colOff>
      <xdr:row>33</xdr:row>
      <xdr:rowOff>71048</xdr:rowOff>
    </xdr:from>
    <xdr:to>
      <xdr:col>1</xdr:col>
      <xdr:colOff>373006</xdr:colOff>
      <xdr:row>36</xdr:row>
      <xdr:rowOff>39430</xdr:rowOff>
    </xdr:to>
    <xdr:pic>
      <xdr:nvPicPr>
        <xdr:cNvPr id="23" name="Picture 22" descr="Data displayed on screen">
          <a:hlinkClick xmlns:r="http://schemas.openxmlformats.org/officeDocument/2006/relationships" r:id="rId13"/>
          <a:extLst>
            <a:ext uri="{FF2B5EF4-FFF2-40B4-BE49-F238E27FC236}">
              <a16:creationId xmlns:a16="http://schemas.microsoft.com/office/drawing/2014/main" id="{881DC49A-8F05-5381-364B-D3E224853C1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66433" y="6225663"/>
          <a:ext cx="932517" cy="527893"/>
        </a:xfrm>
        <a:prstGeom prst="rect">
          <a:avLst/>
        </a:prstGeom>
      </xdr:spPr>
    </xdr:pic>
    <xdr:clientData/>
  </xdr:twoCellAnchor>
  <xdr:twoCellAnchor>
    <xdr:from>
      <xdr:col>0</xdr:col>
      <xdr:colOff>488461</xdr:colOff>
      <xdr:row>36</xdr:row>
      <xdr:rowOff>106573</xdr:rowOff>
    </xdr:from>
    <xdr:to>
      <xdr:col>1</xdr:col>
      <xdr:colOff>186503</xdr:colOff>
      <xdr:row>37</xdr:row>
      <xdr:rowOff>150979</xdr:rowOff>
    </xdr:to>
    <xdr:sp macro="" textlink="">
      <xdr:nvSpPr>
        <xdr:cNvPr id="24" name="TextBox 23">
          <a:hlinkClick xmlns:r="http://schemas.openxmlformats.org/officeDocument/2006/relationships" r:id="rId13"/>
          <a:extLst>
            <a:ext uri="{FF2B5EF4-FFF2-40B4-BE49-F238E27FC236}">
              <a16:creationId xmlns:a16="http://schemas.microsoft.com/office/drawing/2014/main" id="{1B7003E5-4B04-EF49-8388-9EE886F8EEF8}"/>
            </a:ext>
          </a:extLst>
        </xdr:cNvPr>
        <xdr:cNvSpPr txBox="1"/>
      </xdr:nvSpPr>
      <xdr:spPr>
        <a:xfrm>
          <a:off x="488461" y="6820699"/>
          <a:ext cx="523986" cy="23090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CPI</a:t>
          </a:r>
        </a:p>
        <a:p>
          <a:endParaRPr lang="en-US" sz="1100"/>
        </a:p>
      </xdr:txBody>
    </xdr:sp>
    <xdr:clientData/>
  </xdr:twoCellAnchor>
  <xdr:twoCellAnchor>
    <xdr:from>
      <xdr:col>2</xdr:col>
      <xdr:colOff>207163</xdr:colOff>
      <xdr:row>0</xdr:row>
      <xdr:rowOff>45035</xdr:rowOff>
    </xdr:from>
    <xdr:to>
      <xdr:col>13</xdr:col>
      <xdr:colOff>18014</xdr:colOff>
      <xdr:row>5</xdr:row>
      <xdr:rowOff>126098</xdr:rowOff>
    </xdr:to>
    <xdr:sp macro="" textlink="">
      <xdr:nvSpPr>
        <xdr:cNvPr id="25" name="Rounded Rectangle 24">
          <a:extLst>
            <a:ext uri="{FF2B5EF4-FFF2-40B4-BE49-F238E27FC236}">
              <a16:creationId xmlns:a16="http://schemas.microsoft.com/office/drawing/2014/main" id="{E58C02B0-EE3C-9049-184F-4FE0DFD04B62}"/>
            </a:ext>
          </a:extLst>
        </xdr:cNvPr>
        <xdr:cNvSpPr/>
      </xdr:nvSpPr>
      <xdr:spPr>
        <a:xfrm>
          <a:off x="1864468" y="45035"/>
          <a:ext cx="8926028" cy="1026808"/>
        </a:xfrm>
        <a:prstGeom prst="roundRect">
          <a:avLst/>
        </a:prstGeom>
        <a:solidFill>
          <a:schemeClr val="tx1">
            <a:lumMod val="95000"/>
            <a:lumOff val="5000"/>
          </a:schemeClr>
        </a:solidFill>
        <a:ln>
          <a:noFill/>
        </a:ln>
        <a:effectLst>
          <a:outerShdw blurRad="63500" sx="102000" sy="102000" algn="ctr" rotWithShape="0">
            <a:prstClr val="black">
              <a:alpha val="40000"/>
            </a:prstClr>
          </a:out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540425</xdr:colOff>
      <xdr:row>1</xdr:row>
      <xdr:rowOff>54042</xdr:rowOff>
    </xdr:from>
    <xdr:to>
      <xdr:col>10</xdr:col>
      <xdr:colOff>581024</xdr:colOff>
      <xdr:row>4</xdr:row>
      <xdr:rowOff>99078</xdr:rowOff>
    </xdr:to>
    <xdr:sp macro="" textlink="">
      <xdr:nvSpPr>
        <xdr:cNvPr id="26" name="TextBox 25">
          <a:extLst>
            <a:ext uri="{FF2B5EF4-FFF2-40B4-BE49-F238E27FC236}">
              <a16:creationId xmlns:a16="http://schemas.microsoft.com/office/drawing/2014/main" id="{101CBBC9-A19A-B8DB-9579-C204F9322AED}"/>
            </a:ext>
          </a:extLst>
        </xdr:cNvPr>
        <xdr:cNvSpPr txBox="1"/>
      </xdr:nvSpPr>
      <xdr:spPr>
        <a:xfrm>
          <a:off x="1988225" y="244542"/>
          <a:ext cx="5831799" cy="616536"/>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Economic Dashboard:</a:t>
          </a:r>
          <a:r>
            <a:rPr lang="en-US" sz="3200" b="1" baseline="0">
              <a:solidFill>
                <a:schemeClr val="bg1"/>
              </a:solidFill>
            </a:rPr>
            <a:t> Hungary </a:t>
          </a:r>
          <a:endParaRPr lang="en-US" sz="3200" b="1">
            <a:solidFill>
              <a:schemeClr val="bg1"/>
            </a:solidFill>
          </a:endParaRPr>
        </a:p>
      </xdr:txBody>
    </xdr:sp>
    <xdr:clientData/>
  </xdr:twoCellAnchor>
  <xdr:twoCellAnchor>
    <xdr:from>
      <xdr:col>15</xdr:col>
      <xdr:colOff>661701</xdr:colOff>
      <xdr:row>12</xdr:row>
      <xdr:rowOff>121108</xdr:rowOff>
    </xdr:from>
    <xdr:to>
      <xdr:col>19</xdr:col>
      <xdr:colOff>552450</xdr:colOff>
      <xdr:row>28</xdr:row>
      <xdr:rowOff>142876</xdr:rowOff>
    </xdr:to>
    <xdr:sp macro="" textlink="">
      <xdr:nvSpPr>
        <xdr:cNvPr id="4" name="Rounded Rectangle 3">
          <a:extLst>
            <a:ext uri="{FF2B5EF4-FFF2-40B4-BE49-F238E27FC236}">
              <a16:creationId xmlns:a16="http://schemas.microsoft.com/office/drawing/2014/main" id="{C1D5583B-35C9-1909-A87B-8DD706460D0B}"/>
            </a:ext>
          </a:extLst>
        </xdr:cNvPr>
        <xdr:cNvSpPr/>
      </xdr:nvSpPr>
      <xdr:spPr>
        <a:xfrm>
          <a:off x="11520201" y="2407108"/>
          <a:ext cx="2786349" cy="3069768"/>
        </a:xfrm>
        <a:prstGeom prst="roundRect">
          <a:avLst>
            <a:gd name="adj" fmla="val 3449"/>
          </a:avLst>
        </a:prstGeom>
        <a:solidFill>
          <a:schemeClr val="tx1">
            <a:lumMod val="95000"/>
            <a:lumOff val="5000"/>
          </a:schemeClr>
        </a:solidFill>
        <a:ln>
          <a:noFill/>
        </a:ln>
        <a:effectLst>
          <a:outerShdw blurRad="63500" sx="102000" sy="102000" algn="ctr" rotWithShape="0">
            <a:prstClr val="black">
              <a:alpha val="40000"/>
            </a:prstClr>
          </a:out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219281</xdr:colOff>
      <xdr:row>6</xdr:row>
      <xdr:rowOff>0</xdr:rowOff>
    </xdr:from>
    <xdr:to>
      <xdr:col>8</xdr:col>
      <xdr:colOff>456835</xdr:colOff>
      <xdr:row>22</xdr:row>
      <xdr:rowOff>36547</xdr:rowOff>
    </xdr:to>
    <xdr:sp macro="" textlink="">
      <xdr:nvSpPr>
        <xdr:cNvPr id="5" name="Rounded Rectangle 4">
          <a:extLst>
            <a:ext uri="{FF2B5EF4-FFF2-40B4-BE49-F238E27FC236}">
              <a16:creationId xmlns:a16="http://schemas.microsoft.com/office/drawing/2014/main" id="{6255D599-D8B1-0FA1-ACCE-BDF413D7F466}"/>
            </a:ext>
          </a:extLst>
        </xdr:cNvPr>
        <xdr:cNvSpPr/>
      </xdr:nvSpPr>
      <xdr:spPr>
        <a:xfrm>
          <a:off x="1863885" y="1151223"/>
          <a:ext cx="5171367" cy="3106475"/>
        </a:xfrm>
        <a:prstGeom prst="roundRect">
          <a:avLst/>
        </a:prstGeom>
        <a:solidFill>
          <a:schemeClr val="tx1">
            <a:lumMod val="95000"/>
            <a:lumOff val="5000"/>
          </a:schemeClr>
        </a:solidFill>
        <a:ln>
          <a:noFill/>
        </a:ln>
        <a:effectLst>
          <a:outerShdw blurRad="63500" sx="102000" sy="102000" algn="ctr" rotWithShape="0">
            <a:prstClr val="black">
              <a:alpha val="40000"/>
            </a:prstClr>
          </a:out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659027</xdr:colOff>
      <xdr:row>6</xdr:row>
      <xdr:rowOff>127914</xdr:rowOff>
    </xdr:from>
    <xdr:to>
      <xdr:col>8</xdr:col>
      <xdr:colOff>123825</xdr:colOff>
      <xdr:row>21</xdr:row>
      <xdr:rowOff>28575</xdr:rowOff>
    </xdr:to>
    <xdr:graphicFrame macro="">
      <xdr:nvGraphicFramePr>
        <xdr:cNvPr id="3" name="Chart 2">
          <a:extLst>
            <a:ext uri="{FF2B5EF4-FFF2-40B4-BE49-F238E27FC236}">
              <a16:creationId xmlns:a16="http://schemas.microsoft.com/office/drawing/2014/main" id="{8FA4283B-68A8-B14E-9CAD-8E5C32618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785756</xdr:colOff>
      <xdr:row>6</xdr:row>
      <xdr:rowOff>9137</xdr:rowOff>
    </xdr:from>
    <xdr:to>
      <xdr:col>15</xdr:col>
      <xdr:colOff>1</xdr:colOff>
      <xdr:row>22</xdr:row>
      <xdr:rowOff>36547</xdr:rowOff>
    </xdr:to>
    <xdr:sp macro="" textlink="">
      <xdr:nvSpPr>
        <xdr:cNvPr id="27" name="Rounded Rectangle 26">
          <a:extLst>
            <a:ext uri="{FF2B5EF4-FFF2-40B4-BE49-F238E27FC236}">
              <a16:creationId xmlns:a16="http://schemas.microsoft.com/office/drawing/2014/main" id="{A78EA36B-1A35-8D4B-AB77-AD72A3F5B257}"/>
            </a:ext>
          </a:extLst>
        </xdr:cNvPr>
        <xdr:cNvSpPr/>
      </xdr:nvSpPr>
      <xdr:spPr>
        <a:xfrm>
          <a:off x="7364173" y="1160360"/>
          <a:ext cx="4970360" cy="3097338"/>
        </a:xfrm>
        <a:prstGeom prst="roundRect">
          <a:avLst/>
        </a:prstGeom>
        <a:solidFill>
          <a:schemeClr val="tx1">
            <a:lumMod val="95000"/>
            <a:lumOff val="5000"/>
          </a:schemeClr>
        </a:solidFill>
        <a:ln>
          <a:noFill/>
        </a:ln>
        <a:effectLst>
          <a:outerShdw blurRad="63500" sx="102000" sy="102000" algn="ctr" rotWithShape="0">
            <a:prstClr val="black">
              <a:alpha val="40000"/>
            </a:prstClr>
          </a:out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252852</xdr:colOff>
      <xdr:row>6</xdr:row>
      <xdr:rowOff>174487</xdr:rowOff>
    </xdr:from>
    <xdr:to>
      <xdr:col>14</xdr:col>
      <xdr:colOff>453276</xdr:colOff>
      <xdr:row>20</xdr:row>
      <xdr:rowOff>157757</xdr:rowOff>
    </xdr:to>
    <xdr:graphicFrame macro="">
      <xdr:nvGraphicFramePr>
        <xdr:cNvPr id="10" name="Chart 9">
          <a:extLst>
            <a:ext uri="{FF2B5EF4-FFF2-40B4-BE49-F238E27FC236}">
              <a16:creationId xmlns:a16="http://schemas.microsoft.com/office/drawing/2014/main" id="{BEFB5066-7F56-254B-AA12-9F79E3CA9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344271</xdr:colOff>
      <xdr:row>22</xdr:row>
      <xdr:rowOff>124990</xdr:rowOff>
    </xdr:from>
    <xdr:to>
      <xdr:col>11</xdr:col>
      <xdr:colOff>380818</xdr:colOff>
      <xdr:row>38</xdr:row>
      <xdr:rowOff>152400</xdr:rowOff>
    </xdr:to>
    <xdr:sp macro="" textlink="">
      <xdr:nvSpPr>
        <xdr:cNvPr id="28" name="Rounded Rectangle 27">
          <a:extLst>
            <a:ext uri="{FF2B5EF4-FFF2-40B4-BE49-F238E27FC236}">
              <a16:creationId xmlns:a16="http://schemas.microsoft.com/office/drawing/2014/main" id="{7D7FDC54-3E5A-8C46-92CE-F4FDAF4E7BA0}"/>
            </a:ext>
          </a:extLst>
        </xdr:cNvPr>
        <xdr:cNvSpPr/>
      </xdr:nvSpPr>
      <xdr:spPr>
        <a:xfrm>
          <a:off x="4455782" y="4346141"/>
          <a:ext cx="4970360" cy="3097338"/>
        </a:xfrm>
        <a:prstGeom prst="roundRect">
          <a:avLst/>
        </a:prstGeom>
        <a:solidFill>
          <a:schemeClr val="tx1">
            <a:lumMod val="95000"/>
            <a:lumOff val="5000"/>
          </a:schemeClr>
        </a:solidFill>
        <a:ln>
          <a:noFill/>
        </a:ln>
        <a:effectLst>
          <a:outerShdw blurRad="63500" sx="102000" sy="102000" algn="ctr" rotWithShape="0">
            <a:prstClr val="black">
              <a:alpha val="40000"/>
            </a:prstClr>
          </a:outerShdw>
          <a:reflection blurRad="6350" stA="50000" endA="300" endPos="9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602568</xdr:colOff>
      <xdr:row>23</xdr:row>
      <xdr:rowOff>109639</xdr:rowOff>
    </xdr:from>
    <xdr:to>
      <xdr:col>11</xdr:col>
      <xdr:colOff>201007</xdr:colOff>
      <xdr:row>37</xdr:row>
      <xdr:rowOff>110797</xdr:rowOff>
    </xdr:to>
    <xdr:graphicFrame macro="">
      <xdr:nvGraphicFramePr>
        <xdr:cNvPr id="13" name="Chart 12">
          <a:extLst>
            <a:ext uri="{FF2B5EF4-FFF2-40B4-BE49-F238E27FC236}">
              <a16:creationId xmlns:a16="http://schemas.microsoft.com/office/drawing/2014/main" id="{0247104D-8605-2246-B419-7A1D9492B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16</xdr:col>
      <xdr:colOff>506906</xdr:colOff>
      <xdr:row>14</xdr:row>
      <xdr:rowOff>12578</xdr:rowOff>
    </xdr:from>
    <xdr:to>
      <xdr:col>18</xdr:col>
      <xdr:colOff>691102</xdr:colOff>
      <xdr:row>26</xdr:row>
      <xdr:rowOff>137630</xdr:rowOff>
    </xdr:to>
    <mc:AlternateContent xmlns:mc="http://schemas.openxmlformats.org/markup-compatibility/2006" xmlns:sle15="http://schemas.microsoft.com/office/drawing/2012/slicer">
      <mc:Choice Requires="sle15">
        <xdr:graphicFrame macro="">
          <xdr:nvGraphicFramePr>
            <xdr:cNvPr id="16" name="Economic Era">
              <a:extLst>
                <a:ext uri="{FF2B5EF4-FFF2-40B4-BE49-F238E27FC236}">
                  <a16:creationId xmlns:a16="http://schemas.microsoft.com/office/drawing/2014/main" id="{299C80AF-E810-4C44-BFF4-B63633D2F61C}"/>
                </a:ext>
              </a:extLst>
            </xdr:cNvPr>
            <xdr:cNvGraphicFramePr/>
          </xdr:nvGraphicFramePr>
          <xdr:xfrm>
            <a:off x="0" y="0"/>
            <a:ext cx="0" cy="0"/>
          </xdr:xfrm>
          <a:graphic>
            <a:graphicData uri="http://schemas.microsoft.com/office/drawing/2010/slicer">
              <sle:slicer xmlns:sle="http://schemas.microsoft.com/office/drawing/2010/slicer" name="Economic Era"/>
            </a:graphicData>
          </a:graphic>
        </xdr:graphicFrame>
      </mc:Choice>
      <mc:Fallback xmlns="">
        <xdr:sp macro="" textlink="">
          <xdr:nvSpPr>
            <xdr:cNvPr id="0" name=""/>
            <xdr:cNvSpPr>
              <a:spLocks noTextEdit="1"/>
            </xdr:cNvSpPr>
          </xdr:nvSpPr>
          <xdr:spPr>
            <a:xfrm>
              <a:off x="12057222" y="2679578"/>
              <a:ext cx="1627985" cy="241105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0.27778</cdr:x>
      <cdr:y>0.38215</cdr:y>
    </cdr:from>
    <cdr:to>
      <cdr:x>0.37626</cdr:x>
      <cdr:y>0.41582</cdr:y>
    </cdr:to>
    <cdr:sp macro="" textlink="">
      <cdr:nvSpPr>
        <cdr:cNvPr id="2" name="TextBox 1">
          <a:extLst xmlns:a="http://schemas.openxmlformats.org/drawingml/2006/main">
            <a:ext uri="{FF2B5EF4-FFF2-40B4-BE49-F238E27FC236}">
              <a16:creationId xmlns:a16="http://schemas.microsoft.com/office/drawing/2014/main" id="{83B46FC2-F6DC-FD85-4A25-360759FD9988}"/>
            </a:ext>
          </a:extLst>
        </cdr:cNvPr>
        <cdr:cNvSpPr txBox="1"/>
      </cdr:nvSpPr>
      <cdr:spPr>
        <a:xfrm xmlns:a="http://schemas.openxmlformats.org/drawingml/2006/main">
          <a:off x="1269999" y="1048327"/>
          <a:ext cx="450273" cy="923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9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9</xdr:col>
      <xdr:colOff>344870</xdr:colOff>
      <xdr:row>1</xdr:row>
      <xdr:rowOff>188857</xdr:rowOff>
    </xdr:from>
    <xdr:to>
      <xdr:col>14</xdr:col>
      <xdr:colOff>656897</xdr:colOff>
      <xdr:row>8</xdr:row>
      <xdr:rowOff>106746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A3B42D1-988C-BDDC-6053-1D003B57AF26}"/>
            </a:ext>
          </a:extLst>
        </xdr:cNvPr>
        <xdr:cNvSpPr/>
      </xdr:nvSpPr>
      <xdr:spPr>
        <a:xfrm>
          <a:off x="9385409" y="377715"/>
          <a:ext cx="4130238" cy="1239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Click here</a:t>
          </a:r>
          <a:r>
            <a:rPr lang="en-US" sz="3200" baseline="0"/>
            <a:t> to go back to the dashboard</a:t>
          </a:r>
          <a:endParaRPr lang="en-US" sz="3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xdr:row>
      <xdr:rowOff>0</xdr:rowOff>
    </xdr:from>
    <xdr:to>
      <xdr:col>7</xdr:col>
      <xdr:colOff>320239</xdr:colOff>
      <xdr:row>7</xdr:row>
      <xdr:rowOff>96893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C69FAE6-17F8-4424-8568-17651641747B}"/>
            </a:ext>
          </a:extLst>
        </xdr:cNvPr>
        <xdr:cNvSpPr/>
      </xdr:nvSpPr>
      <xdr:spPr>
        <a:xfrm>
          <a:off x="4000500" y="190500"/>
          <a:ext cx="4130239" cy="1239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Click here</a:t>
          </a:r>
          <a:r>
            <a:rPr lang="en-US" sz="3200" baseline="0"/>
            <a:t> to go back to the dashboard</a:t>
          </a:r>
          <a:endParaRPr lang="en-US" sz="3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1</xdr:row>
      <xdr:rowOff>9525</xdr:rowOff>
    </xdr:from>
    <xdr:to>
      <xdr:col>7</xdr:col>
      <xdr:colOff>386914</xdr:colOff>
      <xdr:row>7</xdr:row>
      <xdr:rowOff>106418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F163B20-8E74-41F6-ACD2-7096FBFD18E2}"/>
            </a:ext>
          </a:extLst>
        </xdr:cNvPr>
        <xdr:cNvSpPr/>
      </xdr:nvSpPr>
      <xdr:spPr>
        <a:xfrm>
          <a:off x="4333875" y="200025"/>
          <a:ext cx="4130239" cy="1239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Click here</a:t>
          </a:r>
          <a:r>
            <a:rPr lang="en-US" sz="3200" baseline="0"/>
            <a:t> to go back to the dashboard</a:t>
          </a:r>
          <a:endParaRPr lang="en-US" sz="3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xdr:row>
      <xdr:rowOff>0</xdr:rowOff>
    </xdr:from>
    <xdr:to>
      <xdr:col>7</xdr:col>
      <xdr:colOff>320239</xdr:colOff>
      <xdr:row>7</xdr:row>
      <xdr:rowOff>96893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0FC1794-7608-4E33-A4F6-03FDBBC89E3D}"/>
            </a:ext>
          </a:extLst>
        </xdr:cNvPr>
        <xdr:cNvSpPr/>
      </xdr:nvSpPr>
      <xdr:spPr>
        <a:xfrm>
          <a:off x="3429000" y="190500"/>
          <a:ext cx="4130239" cy="1239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Click here</a:t>
          </a:r>
          <a:r>
            <a:rPr lang="en-US" sz="3200" baseline="0"/>
            <a:t> to go back to the dashboard</a:t>
          </a:r>
          <a:endParaRPr lang="en-US" sz="3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114300</xdr:colOff>
      <xdr:row>0</xdr:row>
      <xdr:rowOff>114300</xdr:rowOff>
    </xdr:from>
    <xdr:to>
      <xdr:col>7</xdr:col>
      <xdr:colOff>434539</xdr:colOff>
      <xdr:row>7</xdr:row>
      <xdr:rowOff>20693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2D8AB05-2E92-468D-BC9F-0B89BDABD46B}"/>
            </a:ext>
          </a:extLst>
        </xdr:cNvPr>
        <xdr:cNvSpPr/>
      </xdr:nvSpPr>
      <xdr:spPr>
        <a:xfrm>
          <a:off x="1971675" y="114300"/>
          <a:ext cx="4130239" cy="1239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Click here</a:t>
          </a:r>
          <a:r>
            <a:rPr lang="en-US" sz="3200" baseline="0"/>
            <a:t> to go back to the dashboard</a:t>
          </a:r>
          <a:endParaRPr lang="en-US" sz="3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xdr:row>
      <xdr:rowOff>0</xdr:rowOff>
    </xdr:from>
    <xdr:to>
      <xdr:col>7</xdr:col>
      <xdr:colOff>320239</xdr:colOff>
      <xdr:row>7</xdr:row>
      <xdr:rowOff>96893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158D40A-2ACF-4EE0-B520-5CB236352C8A}"/>
            </a:ext>
          </a:extLst>
        </xdr:cNvPr>
        <xdr:cNvSpPr/>
      </xdr:nvSpPr>
      <xdr:spPr>
        <a:xfrm>
          <a:off x="1371600" y="190500"/>
          <a:ext cx="4130239" cy="1239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Click here</a:t>
          </a:r>
          <a:r>
            <a:rPr lang="en-US" sz="3200" baseline="0"/>
            <a:t> to go back to the dashboard</a:t>
          </a:r>
          <a:endParaRPr lang="en-US" sz="32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85725</xdr:colOff>
      <xdr:row>1</xdr:row>
      <xdr:rowOff>19050</xdr:rowOff>
    </xdr:from>
    <xdr:to>
      <xdr:col>7</xdr:col>
      <xdr:colOff>405964</xdr:colOff>
      <xdr:row>7</xdr:row>
      <xdr:rowOff>115943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6E873F0-AFD9-4941-9FB5-FC3B32DA51E6}"/>
            </a:ext>
          </a:extLst>
        </xdr:cNvPr>
        <xdr:cNvSpPr/>
      </xdr:nvSpPr>
      <xdr:spPr>
        <a:xfrm>
          <a:off x="6467475" y="209550"/>
          <a:ext cx="4130239" cy="1239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Click here</a:t>
          </a:r>
          <a:r>
            <a:rPr lang="en-US" sz="3200" baseline="0"/>
            <a:t> to go back to the dashboard</a:t>
          </a:r>
          <a:endParaRPr lang="en-US" sz="3200"/>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2" xr16:uid="{2D6E075F-F6B2-5749-B390-148FC33117FB}" autoFormatId="16" applyNumberFormats="0" applyBorderFormats="0" applyFontFormats="0" applyPatternFormats="0" applyAlignmentFormats="0" applyWidthHeightFormats="0">
  <queryTableRefresh nextId="10" unboundColumnsRight="2">
    <queryTableFields count="9">
      <queryTableField id="1" name="Year" tableColumnId="1"/>
      <queryTableField id="2" name="GDP per capita" tableColumnId="2"/>
      <queryTableField id="3" name="GDP Growth.1" tableColumnId="3"/>
      <queryTableField id="4" name="Unemployment % Of Total Labor Force" tableColumnId="4"/>
      <queryTableField id="5" name="Inflation Rate" tableColumnId="5"/>
      <queryTableField id="6" name="CPI Rate" tableColumnId="6"/>
      <queryTableField id="7" name="Population"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9" xr16:uid="{17795CA7-07BB-3940-8F4D-A89E86D597E2}" autoFormatId="16" applyNumberFormats="0" applyBorderFormats="0" applyFontFormats="0" applyPatternFormats="0" applyAlignmentFormats="0" applyWidthHeightFormats="0">
  <queryTableRefresh nextId="7">
    <queryTableFields count="6">
      <queryTableField id="1" name="Year" tableColumnId="1"/>
      <queryTableField id="2" name="GDP per capita" tableColumnId="2"/>
      <queryTableField id="3" name="GDP Growth.1" tableColumnId="3"/>
      <queryTableField id="4" name="Unemployment % Of Total Labor Force" tableColumnId="4"/>
      <queryTableField id="5" name="Inflation Rate" tableColumnId="5"/>
      <queryTableField id="6" name="CPI R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8" xr16:uid="{A43F130D-3B04-214A-B784-BB72C3120614}" autoFormatId="16" applyNumberFormats="0" applyBorderFormats="0" applyFontFormats="0" applyPatternFormats="0" applyAlignmentFormats="0" applyWidthHeightFormats="0">
  <queryTableRefresh nextId="6">
    <queryTableFields count="5">
      <queryTableField id="1" name="Year" tableColumnId="1"/>
      <queryTableField id="2" name="GDP per capita" tableColumnId="2"/>
      <queryTableField id="3" name="GDP Growth.1" tableColumnId="3"/>
      <queryTableField id="4" name="Unemployment % Of Total Labor Force" tableColumnId="4"/>
      <queryTableField id="5" name="Inflation R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0FA274F0-AD4A-E64D-8003-400BA19AB3C9}" autoFormatId="16" applyNumberFormats="0" applyBorderFormats="0" applyFontFormats="0" applyPatternFormats="0" applyAlignmentFormats="0" applyWidthHeightFormats="0">
  <queryTableRefresh nextId="5">
    <queryTableFields count="4">
      <queryTableField id="1" name="Year" tableColumnId="1"/>
      <queryTableField id="2" name="GDP per capita" tableColumnId="2"/>
      <queryTableField id="3" name="GDP Growth.1" tableColumnId="3"/>
      <queryTableField id="4" name="Unemployment % Of Total Labor Forc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E6BE7E54-9069-6F44-8AEA-264120459487}" autoFormatId="16" applyNumberFormats="0" applyBorderFormats="0" applyFontFormats="0" applyPatternFormats="0" applyAlignmentFormats="0" applyWidthHeightFormats="0">
  <queryTableRefresh nextId="4">
    <queryTableFields count="3">
      <queryTableField id="1" name="Gross domestic product (GDP) in current prices in Hungary from 1980 to 2030 (in billion U.S. dollars)" tableColumnId="1"/>
      <queryTableField id="2" name="GDP Per capita" tableColumnId="2"/>
      <queryTableField id="3" name="GDP Growth.1"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0" xr16:uid="{08F2DB8B-677A-3B43-8FE6-35D2FAC4DDD0}" autoFormatId="16" applyNumberFormats="0" applyBorderFormats="0" applyFontFormats="0" applyPatternFormats="0" applyAlignmentFormats="0" applyWidthHeightFormats="0">
  <queryTableRefresh nextId="3">
    <queryTableFields count="2">
      <queryTableField id="1" name="Total population of Hungary from 1980 to 2030 (in millions)" tableColumnId="1"/>
      <queryTableField id="2" name="Amount"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1" xr16:uid="{575CF6F6-4F2C-5D40-89A3-37A91E5B2A1E}" autoFormatId="16" applyNumberFormats="0" applyBorderFormats="0" applyFontFormats="0" applyPatternFormats="0" applyAlignmentFormats="0" applyWidthHeightFormats="0">
  <queryTableRefresh nextId="3">
    <queryTableFields count="2">
      <queryTableField id="1" name="Consumer price index (CPI) in Hungary from 1972 to 2024 (in points)" tableColumnId="1"/>
      <queryTableField id="2" name="Rate"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5" xr16:uid="{2887A527-51EA-3B45-9EC6-FCBD25572753}" autoFormatId="16" applyNumberFormats="0" applyBorderFormats="0" applyFontFormats="0" applyPatternFormats="0" applyAlignmentFormats="0" applyWidthHeightFormats="0">
  <queryTableRefresh nextId="3">
    <queryTableFields count="2">
      <queryTableField id="1" name="Average inflation rate in Hungary from 1980 to 2030" tableColumnId="1"/>
      <queryTableField id="2" name="Rat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11" xr16:uid="{6EC1A2EA-AC15-0641-B6FC-2467394DC145}" autoFormatId="16" applyNumberFormats="0" applyBorderFormats="0" applyFontFormats="0" applyPatternFormats="0" applyAlignmentFormats="0" applyWidthHeightFormats="0">
  <queryTableRefresh nextId="3">
    <queryTableFields count="2">
      <queryTableField id="1" name="Year" tableColumnId="1"/>
      <queryTableField id="2" name="% Of Total Labor Force"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4" xr16:uid="{DFB276E4-9B70-C341-BC07-F15F42C96ECC}" autoFormatId="16" applyNumberFormats="0" applyBorderFormats="0" applyFontFormats="0" applyPatternFormats="0" applyAlignmentFormats="0" applyWidthHeightFormats="0">
  <queryTableRefresh nextId="3">
    <queryTableFields count="2">
      <queryTableField id="1" name="Year " tableColumnId="1"/>
      <queryTableField id="2" name="GDP Growth"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3" xr16:uid="{3F7A82AF-48C3-7148-93BE-1F9D29146F33}" autoFormatId="16" applyNumberFormats="0" applyBorderFormats="0" applyFontFormats="0" applyPatternFormats="0" applyAlignmentFormats="0" applyWidthHeightFormats="0">
  <queryTableRefresh nextId="3">
    <queryTableFields count="2">
      <queryTableField id="1" name="Gross domestic product (GDP) in current prices in Hungary from 1980 to 2030 (in billion U.S. dollars)" tableColumnId="1"/>
      <queryTableField id="2" name="GDP Per capita"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onomic_Era" xr10:uid="{6B42BD05-95E1-0E47-B22B-56ADA184674F}" sourceName="Economic Era">
  <extLst>
    <x:ext xmlns:x15="http://schemas.microsoft.com/office/spreadsheetml/2010/11/main" uri="{2F2917AC-EB37-4324-AD4E-5DD8C200BD13}">
      <x15:tableSlicerCache tableId="1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conomic Era" xr10:uid="{2C7B27E2-2A19-1948-B746-91D153AACAC3}" cache="Slicer_Economic_Era" caption="Economic Era" style="SlicerStyleDark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6193C66-DCFB-0541-9F67-AF7C001B8B82}" name="Full_Table_Data" displayName="Full_Table_Data" ref="A1:I52" tableType="queryTable" totalsRowShown="0">
  <autoFilter ref="A1:I52" xr:uid="{E6193C66-DCFB-0541-9F67-AF7C001B8B82}">
    <filterColumn colId="8">
      <filters>
        <filter val="Historical Data"/>
      </filters>
    </filterColumn>
  </autoFilter>
  <sortState xmlns:xlrd2="http://schemas.microsoft.com/office/spreadsheetml/2017/richdata2" ref="A2:I52">
    <sortCondition ref="A1:A52"/>
  </sortState>
  <tableColumns count="9">
    <tableColumn id="1" xr3:uid="{BC3B336E-A62F-6548-92FD-0EF84CE5C301}" uniqueName="1" name="Year" queryTableFieldId="1"/>
    <tableColumn id="2" xr3:uid="{DF7885CC-91D3-9341-B85F-E749180C07A8}" uniqueName="2" name="GDP per capita" queryTableFieldId="2"/>
    <tableColumn id="3" xr3:uid="{1A831615-4D69-B540-A5C9-3193B2E14BDD}" uniqueName="3" name="GDP Growth.1" queryTableFieldId="3"/>
    <tableColumn id="4" xr3:uid="{8E58A820-CBFF-F247-A81D-1BEFD259AB4E}" uniqueName="4" name="Unemployment % Of Total Labor Force" queryTableFieldId="4"/>
    <tableColumn id="5" xr3:uid="{7545564D-17D0-DC48-A4A8-8F91121FA4A7}" uniqueName="5" name="Inflation Rate" queryTableFieldId="5"/>
    <tableColumn id="6" xr3:uid="{791A0446-F6F8-744E-8D2C-883CBF39BC47}" uniqueName="6" name="CPI Rate" queryTableFieldId="6"/>
    <tableColumn id="7" xr3:uid="{0F4B52FE-5E2D-3D42-B203-5BC54C1A0F69}" uniqueName="7" name="Population" queryTableFieldId="7"/>
    <tableColumn id="8" xr3:uid="{9289E75D-D377-404C-9287-D11A9A1BDE2B}" uniqueName="8" name="Economic Era" queryTableFieldId="8" dataDxfId="0">
      <calculatedColumnFormula array="1">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calculatedColumnFormula>
    </tableColumn>
    <tableColumn id="9" xr3:uid="{640FB137-A46B-0B46-B2B7-B8DBD0F28197}" uniqueName="9" name="Data Type" queryTableFieldId="9"/>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A6F3A7B-D486-E841-8EE7-5F4F36EF53FD}" name="Merge_4" displayName="Merge_4" ref="A1:F52" tableType="queryTable" totalsRowShown="0">
  <autoFilter ref="A1:F52" xr:uid="{5A6F3A7B-D486-E841-8EE7-5F4F36EF53FD}"/>
  <tableColumns count="6">
    <tableColumn id="1" xr3:uid="{B4C2C5B4-6DB6-8C4B-B2B7-CA41DD093C84}" uniqueName="1" name="Year" queryTableFieldId="1"/>
    <tableColumn id="2" xr3:uid="{A69FA901-E280-0E45-B008-8DB09FBEBA81}" uniqueName="2" name="GDP per capita" queryTableFieldId="2"/>
    <tableColumn id="3" xr3:uid="{C7214284-E37E-A748-A8DF-14BD5B256C43}" uniqueName="3" name="GDP Growth.1" queryTableFieldId="3"/>
    <tableColumn id="4" xr3:uid="{7FF0075B-CC76-AC4B-B1F5-0470230816CD}" uniqueName="4" name="Unemployment % Of Total Labor Force" queryTableFieldId="4"/>
    <tableColumn id="5" xr3:uid="{F140F37F-D7F8-D741-A241-01792B7DD7B9}" uniqueName="5" name="Inflation Rate" queryTableFieldId="5"/>
    <tableColumn id="6" xr3:uid="{2CB69AB6-64D1-F140-92CA-16A673E15314}" uniqueName="6" name="CPI Rate"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B821777-4451-AA43-9410-0ACB2B6D54CF}" name="Merge_3" displayName="Merge_3" ref="A1:E52" tableType="queryTable" totalsRowShown="0">
  <autoFilter ref="A1:E52" xr:uid="{3B821777-4451-AA43-9410-0ACB2B6D54CF}"/>
  <tableColumns count="5">
    <tableColumn id="1" xr3:uid="{B4693DE8-6624-2A42-95F7-4487274165C0}" uniqueName="1" name="Year" queryTableFieldId="1"/>
    <tableColumn id="2" xr3:uid="{090B385E-19BB-8A46-8381-A57DBF81FD65}" uniqueName="2" name="GDP per capita" queryTableFieldId="2"/>
    <tableColumn id="3" xr3:uid="{9BA0B60F-B490-B944-A9BE-365A51C57264}" uniqueName="3" name="GDP Growth.1" queryTableFieldId="3"/>
    <tableColumn id="4" xr3:uid="{DDC7DBCC-F1F2-C14D-9EA9-863B01EC7154}" uniqueName="4" name="Unemployment % Of Total Labor Force" queryTableFieldId="4"/>
    <tableColumn id="5" xr3:uid="{9BFDB715-679D-D14B-BDAE-14AFCC96670A}" uniqueName="5" name="Inflation Rat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16D24C-F8F1-914B-BC3C-7B8E6C165194}" name="Merge_2" displayName="Merge_2" ref="A1:D52" tableType="queryTable" totalsRowShown="0">
  <autoFilter ref="A1:D52" xr:uid="{F116D24C-F8F1-914B-BC3C-7B8E6C165194}"/>
  <tableColumns count="4">
    <tableColumn id="1" xr3:uid="{F3336DDB-B1A3-ED45-9947-B7BBFC20306D}" uniqueName="1" name="Year" queryTableFieldId="1"/>
    <tableColumn id="2" xr3:uid="{F34BA5D4-1BAC-9F4C-A6F8-0271322201F5}" uniqueName="2" name="GDP per capita" queryTableFieldId="2"/>
    <tableColumn id="3" xr3:uid="{19F38833-7C09-D04C-941E-45084E1E96BE}" uniqueName="3" name="GDP Growth.1" queryTableFieldId="3"/>
    <tableColumn id="4" xr3:uid="{8558E303-7741-7C4D-A8D9-C9D5D9F87D1D}" uniqueName="4" name="Unemployment % Of Total Labor Force"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2D0351-58D4-7642-9E15-299C766CD543}" name="Merge_1" displayName="Merge_1" ref="A1:C52" tableType="queryTable" totalsRowShown="0">
  <autoFilter ref="A1:C52" xr:uid="{442D0351-58D4-7642-9E15-299C766CD543}"/>
  <tableColumns count="3">
    <tableColumn id="1" xr3:uid="{BF1A49FE-445B-C245-9F25-4F1136909394}" uniqueName="1" name="Gross domestic product (GDP) in current prices in Hungary from 1980 to 2030 (in billion U.S. dollars)" queryTableFieldId="1"/>
    <tableColumn id="2" xr3:uid="{DB93DB2C-A162-5743-8F13-91DB28C860FD}" uniqueName="2" name="GDP Per capita" queryTableFieldId="2"/>
    <tableColumn id="3" xr3:uid="{8B9F1C8A-3BB6-5941-9F72-6836E248271F}" uniqueName="3" name="GDP Growth.1"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BC519D-CFD8-214A-88D2-F260F81D49E2}" name="Popluation" displayName="Popluation" ref="A1:B52" tableType="queryTable" totalsRowShown="0">
  <autoFilter ref="A1:B52" xr:uid="{BABC519D-CFD8-214A-88D2-F260F81D49E2}"/>
  <tableColumns count="2">
    <tableColumn id="1" xr3:uid="{EFDF89C3-83BB-0F48-AA22-571F6577C0EC}" uniqueName="1" name="Total population of Hungary from 1980 to 2030 (in millions)" queryTableFieldId="1"/>
    <tableColumn id="2" xr3:uid="{ED0A6DF6-6761-E041-94D2-AE8CC8F25943}" uniqueName="2" name="Amount" queryTableFieldId="2"/>
  </tableColumns>
  <tableStyleInfo name="TableStyleDark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F058CB-5134-0549-A64D-D1CE44F48F84}" name="CPI" displayName="CPI" ref="A1:B54" tableType="queryTable" totalsRowShown="0">
  <autoFilter ref="A1:B54" xr:uid="{D0F058CB-5134-0549-A64D-D1CE44F48F84}"/>
  <tableColumns count="2">
    <tableColumn id="1" xr3:uid="{159753C8-7A35-BB46-BB74-C810B2344349}" uniqueName="1" name="Consumer price index (CPI) in Hungary from 1972 to 2024 (in points)" queryTableFieldId="1"/>
    <tableColumn id="2" xr3:uid="{AC935305-BDB0-3B47-9142-2E631F1ECD9D}" uniqueName="2" name="Rate" queryTableFieldId="2"/>
  </tableColumns>
  <tableStyleInfo name="TableStyleDark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C0BA9F-428E-054F-A4A3-409287A86CC2}" name="Inflation_Rate" displayName="Inflation_Rate" ref="A1:B52" tableType="queryTable" totalsRowShown="0">
  <autoFilter ref="A1:B52" xr:uid="{CAC0BA9F-428E-054F-A4A3-409287A86CC2}"/>
  <tableColumns count="2">
    <tableColumn id="1" xr3:uid="{0B7B6CC9-DAD9-D544-9903-3B953347CEED}" uniqueName="1" name="Average inflation rate in Hungary from 1980 to 2030" queryTableFieldId="1"/>
    <tableColumn id="2" xr3:uid="{28612E5D-E7C6-F542-9B05-E2DC4E75C723}" uniqueName="2" name="Rate" queryTableFieldId="2"/>
  </tableColumns>
  <tableStyleInfo name="TableStyleDark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09A6F6-BAF9-974B-85A6-69F4EF640F38}" name="Unemployment" displayName="Unemployment" ref="A1:B36" tableType="queryTable" totalsRowShown="0">
  <autoFilter ref="A1:B36" xr:uid="{E809A6F6-BAF9-974B-85A6-69F4EF640F38}"/>
  <tableColumns count="2">
    <tableColumn id="1" xr3:uid="{1D34B26E-DDA1-254C-99A0-D9C1C541ABE3}" uniqueName="1" name="Year" queryTableFieldId="1"/>
    <tableColumn id="2" xr3:uid="{8ED87FB1-7A13-F347-8E88-5E97A58B7599}" uniqueName="2" name="% Of Total Labor Force" queryTableFieldId="2"/>
  </tableColumns>
  <tableStyleInfo name="TableStyleDark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7F1E43-FC03-F946-A6AE-3B36F8E77FA4}" name="GDP_Growth" displayName="GDP_Growth" ref="A1:B65" tableType="queryTable" totalsRowShown="0">
  <autoFilter ref="A1:B65" xr:uid="{C87F1E43-FC03-F946-A6AE-3B36F8E77FA4}"/>
  <tableColumns count="2">
    <tableColumn id="1" xr3:uid="{07C6E37A-7393-1B46-AD15-3BF54FE48398}" uniqueName="1" name="Year " queryTableFieldId="1"/>
    <tableColumn id="2" xr3:uid="{0CE754FC-09F0-4D48-8A82-2132F18C3B38}" uniqueName="2" name="GDP Growth" queryTableFieldId="2"/>
  </tableColumns>
  <tableStyleInfo name="TableStyleDark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D7135-1C43-E745-B6B7-D8EB41AB0BEF}" name="GDP" displayName="GDP" ref="A1:B52" tableType="queryTable" totalsRowShown="0">
  <autoFilter ref="A1:B52" xr:uid="{7E6D7135-1C43-E745-B6B7-D8EB41AB0BEF}"/>
  <tableColumns count="2">
    <tableColumn id="1" xr3:uid="{99C200DF-DD98-B142-B758-05ECC77C40BF}" uniqueName="1" name="Gross domestic product (GDP) in current prices in Hungary from 1980 to 2030 (in billion U.S. dollars)" queryTableFieldId="1"/>
    <tableColumn id="2" xr3:uid="{5AB34860-BA08-074A-BFB8-E043BFBB9DBA}" uniqueName="2" name="GDP Per capita" queryTableFieldId="2"/>
  </tableColumns>
  <tableStyleInfo name="TableStyleDark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CB3D9-3AA9-4C4D-9DC1-D57D6E3DAED6}">
  <sheetPr>
    <tabColor theme="5"/>
  </sheetPr>
  <dimension ref="A1"/>
  <sheetViews>
    <sheetView tabSelected="1" zoomScale="135" zoomScaleNormal="120" workbookViewId="0">
      <selection sqref="A1:XFD1048576"/>
    </sheetView>
  </sheetViews>
  <sheetFormatPr baseColWidth="10" defaultColWidth="10.83203125" defaultRowHeight="15" x14ac:dyDescent="0.2"/>
  <cols>
    <col min="1" max="16384" width="10.83203125" style="1"/>
  </cols>
  <sheetData/>
  <mergeCells count="1">
    <mergeCell ref="A1:XFD1048576"/>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7B481-42C7-724C-8F3F-5ADB60D486D8}">
  <sheetPr>
    <tabColor theme="5"/>
  </sheetPr>
  <dimension ref="A1:I52"/>
  <sheetViews>
    <sheetView zoomScale="116" zoomScaleNormal="136" workbookViewId="0">
      <selection activeCell="H2" sqref="H2"/>
    </sheetView>
  </sheetViews>
  <sheetFormatPr baseColWidth="10" defaultColWidth="11.5" defaultRowHeight="15" x14ac:dyDescent="0.2"/>
  <cols>
    <col min="1" max="1" width="7.1640625" bestFit="1" customWidth="1"/>
    <col min="2" max="2" width="15" bestFit="1" customWidth="1"/>
    <col min="3" max="3" width="14.6640625" bestFit="1" customWidth="1"/>
    <col min="4" max="4" width="33.5" bestFit="1" customWidth="1"/>
    <col min="5" max="5" width="14" bestFit="1" customWidth="1"/>
    <col min="6" max="6" width="10" bestFit="1" customWidth="1"/>
    <col min="7" max="7" width="12.1640625" bestFit="1" customWidth="1"/>
    <col min="8" max="8" width="16.83203125" bestFit="1" customWidth="1"/>
    <col min="9" max="9" width="13.83203125" bestFit="1" customWidth="1"/>
  </cols>
  <sheetData>
    <row r="1" spans="1:9" x14ac:dyDescent="0.2">
      <c r="A1" t="s">
        <v>4</v>
      </c>
      <c r="B1" t="s">
        <v>19</v>
      </c>
      <c r="C1" t="s">
        <v>18</v>
      </c>
      <c r="D1" t="s">
        <v>11</v>
      </c>
      <c r="E1" t="s">
        <v>6</v>
      </c>
      <c r="F1" t="s">
        <v>20</v>
      </c>
      <c r="G1" t="s">
        <v>0</v>
      </c>
      <c r="H1" t="s">
        <v>7</v>
      </c>
      <c r="I1" t="s">
        <v>8</v>
      </c>
    </row>
    <row r="2" spans="1:9" x14ac:dyDescent="0.2">
      <c r="A2">
        <v>1980</v>
      </c>
      <c r="B2">
        <v>23.12</v>
      </c>
      <c r="C2">
        <v>0.200000000000884</v>
      </c>
      <c r="D2">
        <v>0</v>
      </c>
      <c r="E2">
        <v>9.2899999999999991</v>
      </c>
      <c r="F2">
        <v>3.33</v>
      </c>
      <c r="G2">
        <v>10.71</v>
      </c>
      <c r="H2" t="str" cm="1">
        <f t="array" ref="H2">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2" t="s">
        <v>9</v>
      </c>
    </row>
    <row r="3" spans="1:9" x14ac:dyDescent="0.2">
      <c r="A3">
        <v>1981</v>
      </c>
      <c r="B3">
        <v>23.71</v>
      </c>
      <c r="C3">
        <v>2.8667449595618302</v>
      </c>
      <c r="D3">
        <v>0</v>
      </c>
      <c r="E3">
        <v>4.51</v>
      </c>
      <c r="F3">
        <v>3.49</v>
      </c>
      <c r="G3">
        <v>10.71</v>
      </c>
      <c r="H3" t="str" cm="1">
        <f t="array" ref="H3">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3" t="s">
        <v>9</v>
      </c>
    </row>
    <row r="4" spans="1:9" x14ac:dyDescent="0.2">
      <c r="A4">
        <v>1982</v>
      </c>
      <c r="B4">
        <v>24.14</v>
      </c>
      <c r="C4">
        <v>2.8410885424489298</v>
      </c>
      <c r="D4">
        <v>0</v>
      </c>
      <c r="E4">
        <v>7.02</v>
      </c>
      <c r="F4">
        <v>3.72</v>
      </c>
      <c r="G4">
        <v>10.7</v>
      </c>
      <c r="H4" t="str" cm="1">
        <f t="array" ref="H4">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4" t="s">
        <v>9</v>
      </c>
    </row>
    <row r="5" spans="1:9" x14ac:dyDescent="0.2">
      <c r="A5">
        <v>1983</v>
      </c>
      <c r="B5">
        <v>21.91</v>
      </c>
      <c r="C5">
        <v>0.72296587183100802</v>
      </c>
      <c r="D5">
        <v>0</v>
      </c>
      <c r="E5">
        <v>6.4</v>
      </c>
      <c r="F5">
        <v>4</v>
      </c>
      <c r="G5">
        <v>10.67</v>
      </c>
      <c r="H5" t="str" cm="1">
        <f t="array" ref="H5">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5" t="s">
        <v>9</v>
      </c>
    </row>
    <row r="6" spans="1:9" x14ac:dyDescent="0.2">
      <c r="A6">
        <v>1984</v>
      </c>
      <c r="B6">
        <v>21.24</v>
      </c>
      <c r="C6">
        <v>2.6580476826593902</v>
      </c>
      <c r="D6">
        <v>0</v>
      </c>
      <c r="E6">
        <v>8.65</v>
      </c>
      <c r="F6">
        <v>4.33</v>
      </c>
      <c r="G6">
        <v>10.64</v>
      </c>
      <c r="H6" t="str" cm="1">
        <f t="array" ref="H6">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6" t="s">
        <v>9</v>
      </c>
    </row>
    <row r="7" spans="1:9" x14ac:dyDescent="0.2">
      <c r="A7">
        <v>1985</v>
      </c>
      <c r="B7">
        <v>21.51</v>
      </c>
      <c r="C7">
        <v>-0.25306748466249501</v>
      </c>
      <c r="D7">
        <v>0</v>
      </c>
      <c r="E7">
        <v>7.01</v>
      </c>
      <c r="F7">
        <v>4.63</v>
      </c>
      <c r="G7">
        <v>10.6</v>
      </c>
      <c r="H7" t="str" cm="1">
        <f t="array" ref="H7">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7" t="s">
        <v>9</v>
      </c>
    </row>
    <row r="8" spans="1:9" x14ac:dyDescent="0.2">
      <c r="A8">
        <v>1986</v>
      </c>
      <c r="B8">
        <v>24.78</v>
      </c>
      <c r="C8">
        <v>1.53494882486977</v>
      </c>
      <c r="D8">
        <v>0</v>
      </c>
      <c r="E8">
        <v>5.29</v>
      </c>
      <c r="F8">
        <v>4.88</v>
      </c>
      <c r="G8">
        <v>10.56</v>
      </c>
      <c r="H8" t="str" cm="1">
        <f t="array" ref="H8">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8" t="s">
        <v>9</v>
      </c>
    </row>
    <row r="9" spans="1:9" x14ac:dyDescent="0.2">
      <c r="A9">
        <v>1987</v>
      </c>
      <c r="B9">
        <v>27.23</v>
      </c>
      <c r="C9">
        <v>4.0512295993237801</v>
      </c>
      <c r="D9">
        <v>0</v>
      </c>
      <c r="E9">
        <v>8.68</v>
      </c>
      <c r="F9">
        <v>5.3</v>
      </c>
      <c r="G9">
        <v>10.51</v>
      </c>
      <c r="H9" t="str" cm="1">
        <f t="array" ref="H9">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9" t="s">
        <v>9</v>
      </c>
    </row>
    <row r="10" spans="1:9" x14ac:dyDescent="0.2">
      <c r="A10">
        <v>1988</v>
      </c>
      <c r="B10">
        <v>29.8</v>
      </c>
      <c r="C10">
        <v>-6.5263143303553803E-2</v>
      </c>
      <c r="D10">
        <v>0</v>
      </c>
      <c r="E10">
        <v>15.79</v>
      </c>
      <c r="F10">
        <v>6.14</v>
      </c>
      <c r="G10">
        <v>10.46</v>
      </c>
      <c r="H10" t="str" cm="1">
        <f t="array" ref="H10">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Socialist Era</v>
      </c>
      <c r="I10" t="s">
        <v>9</v>
      </c>
    </row>
    <row r="11" spans="1:9" x14ac:dyDescent="0.2">
      <c r="A11">
        <v>1989</v>
      </c>
      <c r="B11">
        <v>30.42</v>
      </c>
      <c r="C11">
        <v>0.73642482148690602</v>
      </c>
      <c r="D11">
        <v>0</v>
      </c>
      <c r="E11">
        <v>16.95</v>
      </c>
      <c r="F11">
        <v>7.19</v>
      </c>
      <c r="G11">
        <v>10.42</v>
      </c>
      <c r="H11" t="str" cm="1">
        <f t="array" ref="H11">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Transition Crisis</v>
      </c>
      <c r="I11" t="s">
        <v>9</v>
      </c>
    </row>
    <row r="12" spans="1:9" x14ac:dyDescent="0.2">
      <c r="A12">
        <v>1990</v>
      </c>
      <c r="B12">
        <v>34.479999999999997</v>
      </c>
      <c r="C12">
        <v>-3.4966597618174098</v>
      </c>
      <c r="D12">
        <v>0</v>
      </c>
      <c r="E12">
        <v>28.97</v>
      </c>
      <c r="F12">
        <v>9.23</v>
      </c>
      <c r="G12">
        <v>10.38</v>
      </c>
      <c r="H12" t="str" cm="1">
        <f t="array" ref="H12">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Transition Crisis</v>
      </c>
      <c r="I12" t="s">
        <v>9</v>
      </c>
    </row>
    <row r="13" spans="1:9" x14ac:dyDescent="0.2">
      <c r="A13">
        <v>1991</v>
      </c>
      <c r="B13">
        <v>34.869999999999997</v>
      </c>
      <c r="C13">
        <v>-11.892040861843499</v>
      </c>
      <c r="D13">
        <v>8.5</v>
      </c>
      <c r="E13">
        <v>34.229999999999997</v>
      </c>
      <c r="F13">
        <v>12.44</v>
      </c>
      <c r="G13">
        <v>10.37</v>
      </c>
      <c r="H13" t="str" cm="1">
        <f t="array" ref="H13">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Transition Crisis</v>
      </c>
      <c r="I13" t="s">
        <v>9</v>
      </c>
    </row>
    <row r="14" spans="1:9" x14ac:dyDescent="0.2">
      <c r="A14">
        <v>1992</v>
      </c>
      <c r="B14">
        <v>38.86</v>
      </c>
      <c r="C14">
        <v>-3.0641803455863799</v>
      </c>
      <c r="D14">
        <v>9.9420000000000002</v>
      </c>
      <c r="E14">
        <v>22.95</v>
      </c>
      <c r="F14">
        <v>15.39</v>
      </c>
      <c r="G14">
        <v>10.37</v>
      </c>
      <c r="H14" t="str" cm="1">
        <f t="array" ref="H14">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Transition Crisis</v>
      </c>
      <c r="I14" t="s">
        <v>9</v>
      </c>
    </row>
    <row r="15" spans="1:9" x14ac:dyDescent="0.2">
      <c r="A15">
        <v>1993</v>
      </c>
      <c r="B15">
        <v>40.26</v>
      </c>
      <c r="C15">
        <v>-0.57610851842561295</v>
      </c>
      <c r="D15">
        <v>12.098000000000001</v>
      </c>
      <c r="E15">
        <v>22.45</v>
      </c>
      <c r="F15">
        <v>18.84</v>
      </c>
      <c r="G15">
        <v>10.37</v>
      </c>
      <c r="H15" t="str" cm="1">
        <f t="array" ref="H15">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Transition Crisis</v>
      </c>
      <c r="I15" t="s">
        <v>9</v>
      </c>
    </row>
    <row r="16" spans="1:9" x14ac:dyDescent="0.2">
      <c r="A16">
        <v>1994</v>
      </c>
      <c r="B16">
        <v>43.31</v>
      </c>
      <c r="C16">
        <v>2.9471545554106799</v>
      </c>
      <c r="D16">
        <v>10.847</v>
      </c>
      <c r="E16">
        <v>18.87</v>
      </c>
      <c r="F16">
        <v>22.4</v>
      </c>
      <c r="G16">
        <v>10.35</v>
      </c>
      <c r="H16" t="str" cm="1">
        <f t="array" ref="H16">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Transition Crisis</v>
      </c>
      <c r="I16" t="s">
        <v>9</v>
      </c>
    </row>
    <row r="17" spans="1:9" x14ac:dyDescent="0.2">
      <c r="A17">
        <v>1995</v>
      </c>
      <c r="B17">
        <v>46.58</v>
      </c>
      <c r="C17">
        <v>1.4895254759304599</v>
      </c>
      <c r="D17">
        <v>10.167999999999999</v>
      </c>
      <c r="E17">
        <v>28.3</v>
      </c>
      <c r="F17">
        <v>28.74</v>
      </c>
      <c r="G17">
        <v>10.34</v>
      </c>
      <c r="H17" t="str" cm="1">
        <f t="array" ref="H17">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17" t="s">
        <v>9</v>
      </c>
    </row>
    <row r="18" spans="1:9" x14ac:dyDescent="0.2">
      <c r="A18">
        <v>1996</v>
      </c>
      <c r="B18">
        <v>46.83</v>
      </c>
      <c r="C18">
        <v>0.101234227633242</v>
      </c>
      <c r="D18">
        <v>10.022</v>
      </c>
      <c r="E18">
        <v>23.46</v>
      </c>
      <c r="F18">
        <v>35.479999999999997</v>
      </c>
      <c r="G18">
        <v>10.32</v>
      </c>
      <c r="H18" t="str" cm="1">
        <f t="array" ref="H18">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18" t="s">
        <v>9</v>
      </c>
    </row>
    <row r="19" spans="1:9" x14ac:dyDescent="0.2">
      <c r="A19">
        <v>1997</v>
      </c>
      <c r="B19">
        <v>47.4</v>
      </c>
      <c r="C19">
        <v>2.9778790654310399</v>
      </c>
      <c r="D19">
        <v>8.9909999999999997</v>
      </c>
      <c r="E19">
        <v>18.3</v>
      </c>
      <c r="F19">
        <v>41.98</v>
      </c>
      <c r="G19">
        <v>10.3</v>
      </c>
      <c r="H19" t="str" cm="1">
        <f t="array" ref="H19">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19" t="s">
        <v>9</v>
      </c>
    </row>
    <row r="20" spans="1:9" x14ac:dyDescent="0.2">
      <c r="A20">
        <v>1998</v>
      </c>
      <c r="B20">
        <v>48.78</v>
      </c>
      <c r="C20">
        <v>3.84810814449837</v>
      </c>
      <c r="D20">
        <v>8.9250000000000007</v>
      </c>
      <c r="E20">
        <v>14.23</v>
      </c>
      <c r="F20">
        <v>47.92</v>
      </c>
      <c r="G20">
        <v>10.28</v>
      </c>
      <c r="H20" t="str" cm="1">
        <f t="array" ref="H20">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20" t="s">
        <v>9</v>
      </c>
    </row>
    <row r="21" spans="1:9" x14ac:dyDescent="0.2">
      <c r="A21">
        <v>1999</v>
      </c>
      <c r="B21">
        <v>49.16</v>
      </c>
      <c r="C21">
        <v>3.08605811588221</v>
      </c>
      <c r="D21">
        <v>6.9290000000000003</v>
      </c>
      <c r="E21">
        <v>9.9700000000000006</v>
      </c>
      <c r="F21">
        <v>52.71</v>
      </c>
      <c r="G21">
        <v>10.25</v>
      </c>
      <c r="H21" t="str" cm="1">
        <f t="array" ref="H21">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21" t="s">
        <v>9</v>
      </c>
    </row>
    <row r="22" spans="1:9" x14ac:dyDescent="0.2">
      <c r="A22">
        <v>2000</v>
      </c>
      <c r="B22">
        <v>47.28</v>
      </c>
      <c r="C22">
        <v>4.4093750180640301</v>
      </c>
      <c r="D22">
        <v>6.5629999999999997</v>
      </c>
      <c r="E22">
        <v>9.7899999999999991</v>
      </c>
      <c r="F22">
        <v>57.88</v>
      </c>
      <c r="G22">
        <v>10.220000000000001</v>
      </c>
      <c r="H22" t="str" cm="1">
        <f t="array" ref="H22">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22" t="s">
        <v>9</v>
      </c>
    </row>
    <row r="23" spans="1:9" x14ac:dyDescent="0.2">
      <c r="A23">
        <v>2001</v>
      </c>
      <c r="B23">
        <v>53.8</v>
      </c>
      <c r="C23">
        <v>4.0620261722602597</v>
      </c>
      <c r="D23">
        <v>5.6710000000000003</v>
      </c>
      <c r="E23">
        <v>9.15</v>
      </c>
      <c r="F23">
        <v>63.15</v>
      </c>
      <c r="G23">
        <v>10.199999999999999</v>
      </c>
      <c r="H23" t="str" cm="1">
        <f t="array" ref="H23">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23" t="s">
        <v>9</v>
      </c>
    </row>
    <row r="24" spans="1:9" x14ac:dyDescent="0.2">
      <c r="A24">
        <v>2002</v>
      </c>
      <c r="B24">
        <v>67.64</v>
      </c>
      <c r="C24">
        <v>4.7300653080555302</v>
      </c>
      <c r="D24">
        <v>5.6079999999999997</v>
      </c>
      <c r="E24">
        <v>5.26</v>
      </c>
      <c r="F24">
        <v>66.48</v>
      </c>
      <c r="G24">
        <v>10.18</v>
      </c>
      <c r="H24" t="str" cm="1">
        <f t="array" ref="H24">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24" t="s">
        <v>9</v>
      </c>
    </row>
    <row r="25" spans="1:9" x14ac:dyDescent="0.2">
      <c r="A25">
        <v>2003</v>
      </c>
      <c r="B25">
        <v>85.19</v>
      </c>
      <c r="C25">
        <v>3.9387776124272702</v>
      </c>
      <c r="D25">
        <v>5.79</v>
      </c>
      <c r="E25">
        <v>4.67</v>
      </c>
      <c r="F25">
        <v>69.58</v>
      </c>
      <c r="G25">
        <v>10.14</v>
      </c>
      <c r="H25" t="str" cm="1">
        <f t="array" ref="H25">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Market Stabilization</v>
      </c>
      <c r="I25" t="s">
        <v>9</v>
      </c>
    </row>
    <row r="26" spans="1:9" x14ac:dyDescent="0.2">
      <c r="A26">
        <v>2004</v>
      </c>
      <c r="B26">
        <v>104.02</v>
      </c>
      <c r="C26">
        <v>4.9631253615630699</v>
      </c>
      <c r="D26">
        <v>5.8319999999999999</v>
      </c>
      <c r="E26">
        <v>6.75</v>
      </c>
      <c r="F26">
        <v>74.27</v>
      </c>
      <c r="G26">
        <v>10.119999999999999</v>
      </c>
      <c r="H26" t="str" cm="1">
        <f t="array" ref="H26">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EU Accession Boom</v>
      </c>
      <c r="I26" t="s">
        <v>9</v>
      </c>
    </row>
    <row r="27" spans="1:9" x14ac:dyDescent="0.2">
      <c r="A27">
        <v>2005</v>
      </c>
      <c r="B27">
        <v>113.1</v>
      </c>
      <c r="C27">
        <v>4.3002831846167302</v>
      </c>
      <c r="D27">
        <v>7.1890000000000001</v>
      </c>
      <c r="E27">
        <v>3.56</v>
      </c>
      <c r="F27">
        <v>76.92</v>
      </c>
      <c r="G27">
        <v>10.1</v>
      </c>
      <c r="H27" t="str" cm="1">
        <f t="array" ref="H27">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EU Accession Boom</v>
      </c>
      <c r="I27" t="s">
        <v>9</v>
      </c>
    </row>
    <row r="28" spans="1:9" x14ac:dyDescent="0.2">
      <c r="A28">
        <v>2006</v>
      </c>
      <c r="B28">
        <v>115.6</v>
      </c>
      <c r="C28">
        <v>3.9339316271205398</v>
      </c>
      <c r="D28">
        <v>7.4939999999999998</v>
      </c>
      <c r="E28">
        <v>3.9</v>
      </c>
      <c r="F28">
        <v>79.94</v>
      </c>
      <c r="G28">
        <v>10.08</v>
      </c>
      <c r="H28" t="str" cm="1">
        <f t="array" ref="H28">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EU Accession Boom</v>
      </c>
      <c r="I28" t="s">
        <v>9</v>
      </c>
    </row>
    <row r="29" spans="1:9" x14ac:dyDescent="0.2">
      <c r="A29">
        <v>2007</v>
      </c>
      <c r="B29">
        <v>140.12</v>
      </c>
      <c r="C29">
        <v>0.33235433787892499</v>
      </c>
      <c r="D29">
        <v>7.4059999999999997</v>
      </c>
      <c r="E29">
        <v>7.95</v>
      </c>
      <c r="F29">
        <v>86.3</v>
      </c>
      <c r="G29">
        <v>10.07</v>
      </c>
      <c r="H29" t="str" cm="1">
        <f t="array" ref="H29">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EU Accession Boom</v>
      </c>
      <c r="I29" t="s">
        <v>9</v>
      </c>
    </row>
    <row r="30" spans="1:9" x14ac:dyDescent="0.2">
      <c r="A30">
        <v>2008</v>
      </c>
      <c r="B30">
        <v>158.22999999999999</v>
      </c>
      <c r="C30">
        <v>0.99343708547965504</v>
      </c>
      <c r="D30">
        <v>7.8170000000000002</v>
      </c>
      <c r="E30">
        <v>6.06</v>
      </c>
      <c r="F30">
        <v>91.51</v>
      </c>
      <c r="G30">
        <v>10.050000000000001</v>
      </c>
      <c r="H30" t="str" cm="1">
        <f t="array" ref="H30">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EU Accession Boom</v>
      </c>
      <c r="I30" t="s">
        <v>9</v>
      </c>
    </row>
    <row r="31" spans="1:9" x14ac:dyDescent="0.2">
      <c r="A31">
        <v>2009</v>
      </c>
      <c r="B31">
        <v>130.81</v>
      </c>
      <c r="C31">
        <v>-6.7401660845502001</v>
      </c>
      <c r="D31">
        <v>10.029999999999999</v>
      </c>
      <c r="E31">
        <v>4.2</v>
      </c>
      <c r="F31">
        <v>95.37</v>
      </c>
      <c r="G31">
        <v>10.029999999999999</v>
      </c>
      <c r="H31" t="str" cm="1">
        <f t="array" ref="H31">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Financial Crisis</v>
      </c>
      <c r="I31" t="s">
        <v>9</v>
      </c>
    </row>
    <row r="32" spans="1:9" x14ac:dyDescent="0.2">
      <c r="A32">
        <v>2010</v>
      </c>
      <c r="B32">
        <v>131.9</v>
      </c>
      <c r="C32">
        <v>1.06795068152046</v>
      </c>
      <c r="D32">
        <v>11.172000000000001</v>
      </c>
      <c r="E32">
        <v>4.87</v>
      </c>
      <c r="F32">
        <v>100</v>
      </c>
      <c r="G32">
        <v>10.01</v>
      </c>
      <c r="H32" t="str" cm="1">
        <f t="array" ref="H32">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Financial Crisis</v>
      </c>
      <c r="I32" t="s">
        <v>9</v>
      </c>
    </row>
    <row r="33" spans="1:9" x14ac:dyDescent="0.2">
      <c r="A33">
        <v>2011</v>
      </c>
      <c r="B33">
        <v>141.71</v>
      </c>
      <c r="C33">
        <v>1.91670916599742</v>
      </c>
      <c r="D33">
        <v>11.029</v>
      </c>
      <c r="E33">
        <v>3.93</v>
      </c>
      <c r="F33">
        <v>103.93</v>
      </c>
      <c r="G33">
        <v>9.99</v>
      </c>
      <c r="H33" t="str" cm="1">
        <f t="array" ref="H33">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Financial Crisis</v>
      </c>
      <c r="I33" t="s">
        <v>9</v>
      </c>
    </row>
    <row r="34" spans="1:9" x14ac:dyDescent="0.2">
      <c r="A34">
        <v>2012</v>
      </c>
      <c r="B34">
        <v>128.47</v>
      </c>
      <c r="C34">
        <v>-1.3394844651818101</v>
      </c>
      <c r="D34">
        <v>11.003</v>
      </c>
      <c r="E34">
        <v>5.66</v>
      </c>
      <c r="F34">
        <v>109.8</v>
      </c>
      <c r="G34">
        <v>9.93</v>
      </c>
      <c r="H34" t="str" cm="1">
        <f t="array" ref="H34">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Financial Crisis</v>
      </c>
      <c r="I34" t="s">
        <v>9</v>
      </c>
    </row>
    <row r="35" spans="1:9" x14ac:dyDescent="0.2">
      <c r="A35">
        <v>2013</v>
      </c>
      <c r="B35">
        <v>135.65</v>
      </c>
      <c r="C35">
        <v>2.0321699067814598</v>
      </c>
      <c r="D35">
        <v>10.177</v>
      </c>
      <c r="E35">
        <v>1.71</v>
      </c>
      <c r="F35">
        <v>111.71</v>
      </c>
      <c r="G35">
        <v>9.9</v>
      </c>
      <c r="H35" t="str" cm="1">
        <f t="array" ref="H35">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Financial Crisis</v>
      </c>
      <c r="I35" t="s">
        <v>9</v>
      </c>
    </row>
    <row r="36" spans="1:9" x14ac:dyDescent="0.2">
      <c r="A36">
        <v>2014</v>
      </c>
      <c r="B36">
        <v>141.13</v>
      </c>
      <c r="C36">
        <v>4.3343536411396704</v>
      </c>
      <c r="D36">
        <v>7.7249999999999996</v>
      </c>
      <c r="E36">
        <v>-0.23</v>
      </c>
      <c r="F36">
        <v>111.45</v>
      </c>
      <c r="G36">
        <v>9.85</v>
      </c>
      <c r="H36" t="str" cm="1">
        <f t="array" ref="H36">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Financial Crisis</v>
      </c>
      <c r="I36" t="s">
        <v>9</v>
      </c>
    </row>
    <row r="37" spans="1:9" x14ac:dyDescent="0.2">
      <c r="A37">
        <v>2015</v>
      </c>
      <c r="B37">
        <v>125.24</v>
      </c>
      <c r="C37">
        <v>3.6598161540695502</v>
      </c>
      <c r="D37">
        <v>6.8129999999999997</v>
      </c>
      <c r="E37">
        <v>-7.0000000000000007E-2</v>
      </c>
      <c r="F37">
        <v>111.38</v>
      </c>
      <c r="G37">
        <v>9.82</v>
      </c>
      <c r="H37" t="str" cm="1">
        <f t="array" ref="H37">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Modern Growth</v>
      </c>
      <c r="I37" t="s">
        <v>9</v>
      </c>
    </row>
    <row r="38" spans="1:9" x14ac:dyDescent="0.2">
      <c r="A38">
        <v>2016</v>
      </c>
      <c r="B38">
        <v>128.97999999999999</v>
      </c>
      <c r="C38">
        <v>2.43864141309342</v>
      </c>
      <c r="D38">
        <v>5.1150000000000002</v>
      </c>
      <c r="E38">
        <v>0.4</v>
      </c>
      <c r="F38">
        <v>111.82</v>
      </c>
      <c r="G38">
        <v>9.7799999999999994</v>
      </c>
      <c r="H38" t="str" cm="1">
        <f t="array" ref="H38">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Modern Growth</v>
      </c>
      <c r="I38" t="s">
        <v>9</v>
      </c>
    </row>
    <row r="39" spans="1:9" x14ac:dyDescent="0.2">
      <c r="A39">
        <v>2017</v>
      </c>
      <c r="B39">
        <v>143.34</v>
      </c>
      <c r="C39">
        <v>4.1241838945180502</v>
      </c>
      <c r="D39">
        <v>4.1559999999999997</v>
      </c>
      <c r="E39">
        <v>2.35</v>
      </c>
      <c r="F39">
        <v>114.45</v>
      </c>
      <c r="G39">
        <v>9.74</v>
      </c>
      <c r="H39" t="str" cm="1">
        <f t="array" ref="H39">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Modern Growth</v>
      </c>
      <c r="I39" t="s">
        <v>9</v>
      </c>
    </row>
    <row r="40" spans="1:9" x14ac:dyDescent="0.2">
      <c r="A40">
        <v>2018</v>
      </c>
      <c r="B40">
        <v>161.19</v>
      </c>
      <c r="C40">
        <v>5.6061381376887596</v>
      </c>
      <c r="D40">
        <v>3.7080000000000002</v>
      </c>
      <c r="E40">
        <v>2.84</v>
      </c>
      <c r="F40">
        <v>117.71</v>
      </c>
      <c r="G40">
        <v>9.7100000000000009</v>
      </c>
      <c r="H40" t="str" cm="1">
        <f t="array" ref="H40">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Modern Growth</v>
      </c>
      <c r="I40" t="s">
        <v>9</v>
      </c>
    </row>
    <row r="41" spans="1:9" x14ac:dyDescent="0.2">
      <c r="A41">
        <v>2019</v>
      </c>
      <c r="B41">
        <v>164.93</v>
      </c>
      <c r="C41">
        <v>5.0771849508893299</v>
      </c>
      <c r="D41">
        <v>3.419</v>
      </c>
      <c r="E41">
        <v>3.37</v>
      </c>
      <c r="F41">
        <v>121.64</v>
      </c>
      <c r="G41">
        <v>9.6999999999999993</v>
      </c>
      <c r="H41" t="str" cm="1">
        <f t="array" ref="H41">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Modern Growth</v>
      </c>
      <c r="I41" t="s">
        <v>9</v>
      </c>
    </row>
    <row r="42" spans="1:9" x14ac:dyDescent="0.2">
      <c r="A42">
        <v>2020</v>
      </c>
      <c r="B42">
        <v>158.47</v>
      </c>
      <c r="C42">
        <v>-4.3387254002405804</v>
      </c>
      <c r="D42">
        <v>4.25</v>
      </c>
      <c r="E42">
        <v>3.31</v>
      </c>
      <c r="F42">
        <v>125.69</v>
      </c>
      <c r="G42">
        <v>9.69</v>
      </c>
      <c r="H42" t="str" cm="1">
        <f t="array" ref="H42">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Modern Growth</v>
      </c>
      <c r="I42" t="s">
        <v>9</v>
      </c>
    </row>
    <row r="43" spans="1:9" x14ac:dyDescent="0.2">
      <c r="A43">
        <v>2021</v>
      </c>
      <c r="B43">
        <v>183.28</v>
      </c>
      <c r="C43">
        <v>7.2229158081113702</v>
      </c>
      <c r="D43">
        <v>4.0449999999999999</v>
      </c>
      <c r="E43">
        <v>5.1100000000000003</v>
      </c>
      <c r="F43">
        <v>132.11000000000001</v>
      </c>
      <c r="G43">
        <v>9.65</v>
      </c>
      <c r="H43" t="str" cm="1">
        <f t="array" ref="H43">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Modern Growth</v>
      </c>
      <c r="I43" t="s">
        <v>9</v>
      </c>
    </row>
    <row r="44" spans="1:9" x14ac:dyDescent="0.2">
      <c r="A44">
        <v>2022</v>
      </c>
      <c r="B44">
        <v>178.32</v>
      </c>
      <c r="C44">
        <v>4.2703475516290403</v>
      </c>
      <c r="D44">
        <v>3.609</v>
      </c>
      <c r="E44">
        <v>14.62</v>
      </c>
      <c r="F44">
        <v>151.41</v>
      </c>
      <c r="G44">
        <v>9.61</v>
      </c>
      <c r="H44" t="str" cm="1">
        <f t="array" ref="H44">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Post-COVID Inflation</v>
      </c>
      <c r="I44" t="s">
        <v>9</v>
      </c>
    </row>
    <row r="45" spans="1:9" x14ac:dyDescent="0.2">
      <c r="A45">
        <v>2023</v>
      </c>
      <c r="B45">
        <v>214.1</v>
      </c>
      <c r="C45">
        <v>-0.84252884063909095</v>
      </c>
      <c r="D45">
        <v>4.1070000000000002</v>
      </c>
      <c r="E45">
        <v>17.14</v>
      </c>
      <c r="F45">
        <v>177.34</v>
      </c>
      <c r="G45">
        <v>9.6</v>
      </c>
      <c r="H45" t="str" cm="1">
        <f t="array" ref="H45">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Post-COVID Inflation</v>
      </c>
      <c r="I45" t="s">
        <v>9</v>
      </c>
    </row>
    <row r="46" spans="1:9" x14ac:dyDescent="0.2">
      <c r="A46">
        <v>2024</v>
      </c>
      <c r="B46">
        <v>223.06</v>
      </c>
      <c r="C46">
        <v>0.51230579065713799</v>
      </c>
      <c r="D46">
        <v>4.4340000000000002</v>
      </c>
      <c r="E46">
        <v>3.71</v>
      </c>
      <c r="F46">
        <v>183.91</v>
      </c>
      <c r="G46">
        <v>9.59</v>
      </c>
      <c r="H46" t="str" cm="1">
        <f t="array" ref="H46">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Post-COVID Inflation</v>
      </c>
      <c r="I46" t="s">
        <v>9</v>
      </c>
    </row>
    <row r="47" spans="1:9" x14ac:dyDescent="0.2">
      <c r="A47">
        <v>2025</v>
      </c>
      <c r="B47">
        <v>247.76</v>
      </c>
      <c r="C47">
        <v>0</v>
      </c>
      <c r="D47">
        <v>0</v>
      </c>
      <c r="E47">
        <v>4.46</v>
      </c>
      <c r="F47">
        <v>0</v>
      </c>
      <c r="G47">
        <v>9.56</v>
      </c>
      <c r="H47" t="str" cm="1">
        <f t="array" ref="H47">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Future Outlook</v>
      </c>
      <c r="I47" t="s">
        <v>9</v>
      </c>
    </row>
    <row r="48" spans="1:9" x14ac:dyDescent="0.2">
      <c r="A48">
        <v>2026</v>
      </c>
      <c r="B48">
        <v>269.92</v>
      </c>
      <c r="C48">
        <v>0</v>
      </c>
      <c r="D48">
        <v>0</v>
      </c>
      <c r="E48">
        <v>3.47</v>
      </c>
      <c r="F48">
        <v>0</v>
      </c>
      <c r="G48">
        <v>9.5399999999999991</v>
      </c>
      <c r="H48" t="str" cm="1">
        <f t="array" ref="H48">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Future Outlook</v>
      </c>
      <c r="I48" t="s">
        <v>9</v>
      </c>
    </row>
    <row r="49" spans="1:9" hidden="1" x14ac:dyDescent="0.2">
      <c r="A49">
        <v>2027</v>
      </c>
      <c r="B49">
        <v>284.12</v>
      </c>
      <c r="C49">
        <v>0</v>
      </c>
      <c r="D49">
        <v>0</v>
      </c>
      <c r="E49">
        <v>3.03</v>
      </c>
      <c r="F49">
        <v>0</v>
      </c>
      <c r="G49">
        <v>9.51</v>
      </c>
      <c r="H49" t="str" cm="1">
        <f t="array" ref="H49">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Future Outlook</v>
      </c>
      <c r="I49" t="s">
        <v>10</v>
      </c>
    </row>
    <row r="50" spans="1:9" hidden="1" x14ac:dyDescent="0.2">
      <c r="A50">
        <v>2028</v>
      </c>
      <c r="B50">
        <v>298.58</v>
      </c>
      <c r="C50">
        <v>0</v>
      </c>
      <c r="D50">
        <v>0</v>
      </c>
      <c r="E50">
        <v>3</v>
      </c>
      <c r="F50">
        <v>0</v>
      </c>
      <c r="G50">
        <v>9.49</v>
      </c>
      <c r="H50" t="str" cm="1">
        <f t="array" ref="H50">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Future Outlook</v>
      </c>
      <c r="I50" t="s">
        <v>10</v>
      </c>
    </row>
    <row r="51" spans="1:9" hidden="1" x14ac:dyDescent="0.2">
      <c r="A51">
        <v>2029</v>
      </c>
      <c r="B51">
        <v>314.31</v>
      </c>
      <c r="C51">
        <v>0</v>
      </c>
      <c r="D51">
        <v>0</v>
      </c>
      <c r="E51">
        <v>3</v>
      </c>
      <c r="F51">
        <v>0</v>
      </c>
      <c r="G51">
        <v>9.4700000000000006</v>
      </c>
      <c r="H51" t="str" cm="1">
        <f t="array" ref="H51">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Future Outlook</v>
      </c>
      <c r="I51" t="s">
        <v>10</v>
      </c>
    </row>
    <row r="52" spans="1:9" hidden="1" x14ac:dyDescent="0.2">
      <c r="A52">
        <v>2030</v>
      </c>
      <c r="B52">
        <v>331.13</v>
      </c>
      <c r="C52">
        <v>0</v>
      </c>
      <c r="D52">
        <v>0</v>
      </c>
      <c r="E52">
        <v>3</v>
      </c>
      <c r="F52">
        <v>0</v>
      </c>
      <c r="G52">
        <v>9.44</v>
      </c>
      <c r="H52" t="str" cm="1">
        <f t="array" ref="H52">_xlfn.IFS(Full_Table_Data[[#This Row],[Year]]&lt;1989,"Socialist Era", Full_Table_Data[[#This Row],[Year]]&lt;1995, "Transition Crisis",Full_Table_Data[[#This Row],[Year]]&lt;2004, "Market Stabilization", Full_Table_Data[[#This Row],[Year]]&lt;2009,"EU Accession Boom",Full_Table_Data[[#This Row],[Year]]&lt;2015,"Financial Crisis",Full_Table_Data[[#This Row],[Year]]&lt;2022,"Modern Growth",Full_Table_Data[[#This Row],[Year]]&lt;2025,"Post-COVID Inflation",Full_Table_Data[[#This Row],[Year]]&gt;=2025,"Future Outlook")</f>
        <v>Future Outlook</v>
      </c>
      <c r="I52" t="s">
        <v>10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7DA8E-FD0F-2A44-BED8-F5F8BB4D1DCD}">
  <dimension ref="A1:F52"/>
  <sheetViews>
    <sheetView workbookViewId="0">
      <selection activeCell="I46" sqref="I46"/>
    </sheetView>
  </sheetViews>
  <sheetFormatPr baseColWidth="10" defaultColWidth="11.5" defaultRowHeight="15" x14ac:dyDescent="0.2"/>
  <cols>
    <col min="1" max="1" width="7.1640625" bestFit="1" customWidth="1"/>
    <col min="2" max="2" width="15" bestFit="1" customWidth="1"/>
    <col min="3" max="3" width="14.6640625" bestFit="1" customWidth="1"/>
    <col min="4" max="4" width="33.5" bestFit="1" customWidth="1"/>
    <col min="5" max="5" width="14" bestFit="1" customWidth="1"/>
    <col min="6" max="6" width="10" bestFit="1" customWidth="1"/>
  </cols>
  <sheetData>
    <row r="1" spans="1:6" x14ac:dyDescent="0.2">
      <c r="A1" t="s">
        <v>4</v>
      </c>
      <c r="B1" t="s">
        <v>19</v>
      </c>
      <c r="C1" t="s">
        <v>18</v>
      </c>
      <c r="D1" t="s">
        <v>11</v>
      </c>
      <c r="E1" t="s">
        <v>6</v>
      </c>
      <c r="F1" t="s">
        <v>20</v>
      </c>
    </row>
    <row r="2" spans="1:6" x14ac:dyDescent="0.2">
      <c r="A2">
        <v>1980</v>
      </c>
      <c r="B2">
        <v>23.12</v>
      </c>
      <c r="C2">
        <v>0.200000000000884</v>
      </c>
      <c r="E2">
        <v>9.2899999999999991</v>
      </c>
      <c r="F2">
        <v>3.33</v>
      </c>
    </row>
    <row r="3" spans="1:6" x14ac:dyDescent="0.2">
      <c r="A3">
        <v>1991</v>
      </c>
      <c r="B3">
        <v>34.869999999999997</v>
      </c>
      <c r="C3">
        <v>-11.892040861843499</v>
      </c>
      <c r="D3">
        <v>8.5</v>
      </c>
      <c r="E3">
        <v>34.229999999999997</v>
      </c>
      <c r="F3">
        <v>12.44</v>
      </c>
    </row>
    <row r="4" spans="1:6" x14ac:dyDescent="0.2">
      <c r="A4">
        <v>1981</v>
      </c>
      <c r="B4">
        <v>23.71</v>
      </c>
      <c r="C4">
        <v>2.8667449595618302</v>
      </c>
      <c r="E4">
        <v>4.51</v>
      </c>
      <c r="F4">
        <v>3.49</v>
      </c>
    </row>
    <row r="5" spans="1:6" x14ac:dyDescent="0.2">
      <c r="A5">
        <v>1982</v>
      </c>
      <c r="B5">
        <v>24.14</v>
      </c>
      <c r="C5">
        <v>2.8410885424489298</v>
      </c>
      <c r="E5">
        <v>7.02</v>
      </c>
      <c r="F5">
        <v>3.72</v>
      </c>
    </row>
    <row r="6" spans="1:6" x14ac:dyDescent="0.2">
      <c r="A6">
        <v>1992</v>
      </c>
      <c r="B6">
        <v>38.86</v>
      </c>
      <c r="C6">
        <v>-3.0641803455863799</v>
      </c>
      <c r="D6">
        <v>9.9420000000000002</v>
      </c>
      <c r="E6">
        <v>22.95</v>
      </c>
      <c r="F6">
        <v>15.39</v>
      </c>
    </row>
    <row r="7" spans="1:6" x14ac:dyDescent="0.2">
      <c r="A7">
        <v>1983</v>
      </c>
      <c r="B7">
        <v>21.91</v>
      </c>
      <c r="C7">
        <v>0.72296587183100802</v>
      </c>
      <c r="E7">
        <v>6.4</v>
      </c>
      <c r="F7">
        <v>4</v>
      </c>
    </row>
    <row r="8" spans="1:6" x14ac:dyDescent="0.2">
      <c r="A8">
        <v>1984</v>
      </c>
      <c r="B8">
        <v>21.24</v>
      </c>
      <c r="C8">
        <v>2.6580476826593902</v>
      </c>
      <c r="E8">
        <v>8.65</v>
      </c>
      <c r="F8">
        <v>4.33</v>
      </c>
    </row>
    <row r="9" spans="1:6" x14ac:dyDescent="0.2">
      <c r="A9">
        <v>1993</v>
      </c>
      <c r="B9">
        <v>40.26</v>
      </c>
      <c r="C9">
        <v>-0.57610851842561295</v>
      </c>
      <c r="D9">
        <v>12.098000000000001</v>
      </c>
      <c r="E9">
        <v>22.45</v>
      </c>
      <c r="F9">
        <v>18.84</v>
      </c>
    </row>
    <row r="10" spans="1:6" x14ac:dyDescent="0.2">
      <c r="A10">
        <v>1985</v>
      </c>
      <c r="B10">
        <v>21.51</v>
      </c>
      <c r="C10">
        <v>-0.25306748466249501</v>
      </c>
      <c r="E10">
        <v>7.01</v>
      </c>
      <c r="F10">
        <v>4.63</v>
      </c>
    </row>
    <row r="11" spans="1:6" x14ac:dyDescent="0.2">
      <c r="A11">
        <v>1986</v>
      </c>
      <c r="B11">
        <v>24.78</v>
      </c>
      <c r="C11">
        <v>1.53494882486977</v>
      </c>
      <c r="E11">
        <v>5.29</v>
      </c>
      <c r="F11">
        <v>4.88</v>
      </c>
    </row>
    <row r="12" spans="1:6" x14ac:dyDescent="0.2">
      <c r="A12">
        <v>1994</v>
      </c>
      <c r="B12">
        <v>43.31</v>
      </c>
      <c r="C12">
        <v>2.9471545554106799</v>
      </c>
      <c r="D12">
        <v>10.847</v>
      </c>
      <c r="E12">
        <v>18.87</v>
      </c>
      <c r="F12">
        <v>22.4</v>
      </c>
    </row>
    <row r="13" spans="1:6" x14ac:dyDescent="0.2">
      <c r="A13">
        <v>1987</v>
      </c>
      <c r="B13">
        <v>27.23</v>
      </c>
      <c r="C13">
        <v>4.0512295993237801</v>
      </c>
      <c r="E13">
        <v>8.68</v>
      </c>
      <c r="F13">
        <v>5.3</v>
      </c>
    </row>
    <row r="14" spans="1:6" x14ac:dyDescent="0.2">
      <c r="A14">
        <v>1988</v>
      </c>
      <c r="B14">
        <v>29.8</v>
      </c>
      <c r="C14">
        <v>-6.5263143303553803E-2</v>
      </c>
      <c r="E14">
        <v>15.79</v>
      </c>
      <c r="F14">
        <v>6.14</v>
      </c>
    </row>
    <row r="15" spans="1:6" x14ac:dyDescent="0.2">
      <c r="A15">
        <v>1995</v>
      </c>
      <c r="B15">
        <v>46.58</v>
      </c>
      <c r="C15">
        <v>1.4895254759304599</v>
      </c>
      <c r="D15">
        <v>10.167999999999999</v>
      </c>
      <c r="E15">
        <v>28.3</v>
      </c>
      <c r="F15">
        <v>28.74</v>
      </c>
    </row>
    <row r="16" spans="1:6" x14ac:dyDescent="0.2">
      <c r="A16">
        <v>1989</v>
      </c>
      <c r="B16">
        <v>30.42</v>
      </c>
      <c r="C16">
        <v>0.73642482148690602</v>
      </c>
      <c r="E16">
        <v>16.95</v>
      </c>
      <c r="F16">
        <v>7.19</v>
      </c>
    </row>
    <row r="17" spans="1:6" x14ac:dyDescent="0.2">
      <c r="A17">
        <v>1990</v>
      </c>
      <c r="B17">
        <v>34.479999999999997</v>
      </c>
      <c r="C17">
        <v>-3.4966597618174098</v>
      </c>
      <c r="E17">
        <v>28.97</v>
      </c>
      <c r="F17">
        <v>9.23</v>
      </c>
    </row>
    <row r="18" spans="1:6" x14ac:dyDescent="0.2">
      <c r="A18">
        <v>1996</v>
      </c>
      <c r="B18">
        <v>46.83</v>
      </c>
      <c r="C18">
        <v>0.101234227633242</v>
      </c>
      <c r="D18">
        <v>10.022</v>
      </c>
      <c r="E18">
        <v>23.46</v>
      </c>
      <c r="F18">
        <v>35.479999999999997</v>
      </c>
    </row>
    <row r="19" spans="1:6" x14ac:dyDescent="0.2">
      <c r="A19">
        <v>1997</v>
      </c>
      <c r="B19">
        <v>47.4</v>
      </c>
      <c r="C19">
        <v>2.9778790654310399</v>
      </c>
      <c r="D19">
        <v>8.9909999999999997</v>
      </c>
      <c r="E19">
        <v>18.3</v>
      </c>
      <c r="F19">
        <v>41.98</v>
      </c>
    </row>
    <row r="20" spans="1:6" x14ac:dyDescent="0.2">
      <c r="A20">
        <v>1998</v>
      </c>
      <c r="B20">
        <v>48.78</v>
      </c>
      <c r="C20">
        <v>3.84810814449837</v>
      </c>
      <c r="D20">
        <v>8.9250000000000007</v>
      </c>
      <c r="E20">
        <v>14.23</v>
      </c>
      <c r="F20">
        <v>47.92</v>
      </c>
    </row>
    <row r="21" spans="1:6" x14ac:dyDescent="0.2">
      <c r="A21">
        <v>1999</v>
      </c>
      <c r="B21">
        <v>49.16</v>
      </c>
      <c r="C21">
        <v>3.08605811588221</v>
      </c>
      <c r="D21">
        <v>6.9290000000000003</v>
      </c>
      <c r="E21">
        <v>9.9700000000000006</v>
      </c>
      <c r="F21">
        <v>52.71</v>
      </c>
    </row>
    <row r="22" spans="1:6" x14ac:dyDescent="0.2">
      <c r="A22">
        <v>2000</v>
      </c>
      <c r="B22">
        <v>47.28</v>
      </c>
      <c r="C22">
        <v>4.4093750180640301</v>
      </c>
      <c r="D22">
        <v>6.5629999999999997</v>
      </c>
      <c r="E22">
        <v>9.7899999999999991</v>
      </c>
      <c r="F22">
        <v>57.88</v>
      </c>
    </row>
    <row r="23" spans="1:6" x14ac:dyDescent="0.2">
      <c r="A23">
        <v>2001</v>
      </c>
      <c r="B23">
        <v>53.8</v>
      </c>
      <c r="C23">
        <v>4.0620261722602597</v>
      </c>
      <c r="D23">
        <v>5.6710000000000003</v>
      </c>
      <c r="E23">
        <v>9.15</v>
      </c>
      <c r="F23">
        <v>63.15</v>
      </c>
    </row>
    <row r="24" spans="1:6" x14ac:dyDescent="0.2">
      <c r="A24">
        <v>2002</v>
      </c>
      <c r="B24">
        <v>67.64</v>
      </c>
      <c r="C24">
        <v>4.7300653080555302</v>
      </c>
      <c r="D24">
        <v>5.6079999999999997</v>
      </c>
      <c r="E24">
        <v>5.26</v>
      </c>
      <c r="F24">
        <v>66.48</v>
      </c>
    </row>
    <row r="25" spans="1:6" x14ac:dyDescent="0.2">
      <c r="A25">
        <v>2003</v>
      </c>
      <c r="B25">
        <v>85.19</v>
      </c>
      <c r="C25">
        <v>3.9387776124272702</v>
      </c>
      <c r="D25">
        <v>5.79</v>
      </c>
      <c r="E25">
        <v>4.67</v>
      </c>
      <c r="F25">
        <v>69.58</v>
      </c>
    </row>
    <row r="26" spans="1:6" x14ac:dyDescent="0.2">
      <c r="A26">
        <v>2004</v>
      </c>
      <c r="B26">
        <v>104.02</v>
      </c>
      <c r="C26">
        <v>4.9631253615630699</v>
      </c>
      <c r="D26">
        <v>5.8319999999999999</v>
      </c>
      <c r="E26">
        <v>6.75</v>
      </c>
      <c r="F26">
        <v>74.27</v>
      </c>
    </row>
    <row r="27" spans="1:6" x14ac:dyDescent="0.2">
      <c r="A27">
        <v>2005</v>
      </c>
      <c r="B27">
        <v>113.1</v>
      </c>
      <c r="C27">
        <v>4.3002831846167302</v>
      </c>
      <c r="D27">
        <v>7.1890000000000001</v>
      </c>
      <c r="E27">
        <v>3.56</v>
      </c>
      <c r="F27">
        <v>76.92</v>
      </c>
    </row>
    <row r="28" spans="1:6" x14ac:dyDescent="0.2">
      <c r="A28">
        <v>2006</v>
      </c>
      <c r="B28">
        <v>115.6</v>
      </c>
      <c r="C28">
        <v>3.9339316271205398</v>
      </c>
      <c r="D28">
        <v>7.4939999999999998</v>
      </c>
      <c r="E28">
        <v>3.9</v>
      </c>
      <c r="F28">
        <v>79.94</v>
      </c>
    </row>
    <row r="29" spans="1:6" x14ac:dyDescent="0.2">
      <c r="A29">
        <v>2007</v>
      </c>
      <c r="B29">
        <v>140.12</v>
      </c>
      <c r="C29">
        <v>0.33235433787892499</v>
      </c>
      <c r="D29">
        <v>7.4059999999999997</v>
      </c>
      <c r="E29">
        <v>7.95</v>
      </c>
      <c r="F29">
        <v>86.3</v>
      </c>
    </row>
    <row r="30" spans="1:6" x14ac:dyDescent="0.2">
      <c r="A30">
        <v>2008</v>
      </c>
      <c r="B30">
        <v>158.22999999999999</v>
      </c>
      <c r="C30">
        <v>0.99343708547965504</v>
      </c>
      <c r="D30">
        <v>7.8170000000000002</v>
      </c>
      <c r="E30">
        <v>6.06</v>
      </c>
      <c r="F30">
        <v>91.51</v>
      </c>
    </row>
    <row r="31" spans="1:6" x14ac:dyDescent="0.2">
      <c r="A31">
        <v>2009</v>
      </c>
      <c r="B31">
        <v>130.81</v>
      </c>
      <c r="C31">
        <v>-6.7401660845502001</v>
      </c>
      <c r="D31">
        <v>10.029999999999999</v>
      </c>
      <c r="E31">
        <v>4.2</v>
      </c>
      <c r="F31">
        <v>95.37</v>
      </c>
    </row>
    <row r="32" spans="1:6" x14ac:dyDescent="0.2">
      <c r="A32">
        <v>2010</v>
      </c>
      <c r="B32">
        <v>131.9</v>
      </c>
      <c r="C32">
        <v>1.06795068152046</v>
      </c>
      <c r="D32">
        <v>11.172000000000001</v>
      </c>
      <c r="E32">
        <v>4.87</v>
      </c>
      <c r="F32">
        <v>100</v>
      </c>
    </row>
    <row r="33" spans="1:6" x14ac:dyDescent="0.2">
      <c r="A33">
        <v>2011</v>
      </c>
      <c r="B33">
        <v>141.71</v>
      </c>
      <c r="C33">
        <v>1.91670916599742</v>
      </c>
      <c r="D33">
        <v>11.029</v>
      </c>
      <c r="E33">
        <v>3.93</v>
      </c>
      <c r="F33">
        <v>103.93</v>
      </c>
    </row>
    <row r="34" spans="1:6" x14ac:dyDescent="0.2">
      <c r="A34">
        <v>2012</v>
      </c>
      <c r="B34">
        <v>128.47</v>
      </c>
      <c r="C34">
        <v>-1.3394844651818101</v>
      </c>
      <c r="D34">
        <v>11.003</v>
      </c>
      <c r="E34">
        <v>5.66</v>
      </c>
      <c r="F34">
        <v>109.8</v>
      </c>
    </row>
    <row r="35" spans="1:6" x14ac:dyDescent="0.2">
      <c r="A35">
        <v>2013</v>
      </c>
      <c r="B35">
        <v>135.65</v>
      </c>
      <c r="C35">
        <v>2.0321699067814598</v>
      </c>
      <c r="D35">
        <v>10.177</v>
      </c>
      <c r="E35">
        <v>1.71</v>
      </c>
      <c r="F35">
        <v>111.71</v>
      </c>
    </row>
    <row r="36" spans="1:6" x14ac:dyDescent="0.2">
      <c r="A36">
        <v>2014</v>
      </c>
      <c r="B36">
        <v>141.13</v>
      </c>
      <c r="C36">
        <v>4.3343536411396704</v>
      </c>
      <c r="D36">
        <v>7.7249999999999996</v>
      </c>
      <c r="E36">
        <v>-0.23</v>
      </c>
      <c r="F36">
        <v>111.45</v>
      </c>
    </row>
    <row r="37" spans="1:6" x14ac:dyDescent="0.2">
      <c r="A37">
        <v>2015</v>
      </c>
      <c r="B37">
        <v>125.24</v>
      </c>
      <c r="C37">
        <v>3.6598161540695502</v>
      </c>
      <c r="D37">
        <v>6.8129999999999997</v>
      </c>
      <c r="E37">
        <v>-7.0000000000000007E-2</v>
      </c>
      <c r="F37">
        <v>111.38</v>
      </c>
    </row>
    <row r="38" spans="1:6" x14ac:dyDescent="0.2">
      <c r="A38">
        <v>2016</v>
      </c>
      <c r="B38">
        <v>128.97999999999999</v>
      </c>
      <c r="C38">
        <v>2.43864141309342</v>
      </c>
      <c r="D38">
        <v>5.1150000000000002</v>
      </c>
      <c r="E38">
        <v>0.4</v>
      </c>
      <c r="F38">
        <v>111.82</v>
      </c>
    </row>
    <row r="39" spans="1:6" x14ac:dyDescent="0.2">
      <c r="A39">
        <v>2017</v>
      </c>
      <c r="B39">
        <v>143.34</v>
      </c>
      <c r="C39">
        <v>4.1241838945180502</v>
      </c>
      <c r="D39">
        <v>4.1559999999999997</v>
      </c>
      <c r="E39">
        <v>2.35</v>
      </c>
      <c r="F39">
        <v>114.45</v>
      </c>
    </row>
    <row r="40" spans="1:6" x14ac:dyDescent="0.2">
      <c r="A40">
        <v>2018</v>
      </c>
      <c r="B40">
        <v>161.19</v>
      </c>
      <c r="C40">
        <v>5.6061381376887596</v>
      </c>
      <c r="D40">
        <v>3.7080000000000002</v>
      </c>
      <c r="E40">
        <v>2.84</v>
      </c>
      <c r="F40">
        <v>117.71</v>
      </c>
    </row>
    <row r="41" spans="1:6" x14ac:dyDescent="0.2">
      <c r="A41">
        <v>2019</v>
      </c>
      <c r="B41">
        <v>164.93</v>
      </c>
      <c r="C41">
        <v>5.0771849508893299</v>
      </c>
      <c r="D41">
        <v>3.419</v>
      </c>
      <c r="E41">
        <v>3.37</v>
      </c>
      <c r="F41">
        <v>121.64</v>
      </c>
    </row>
    <row r="42" spans="1:6" x14ac:dyDescent="0.2">
      <c r="A42">
        <v>2020</v>
      </c>
      <c r="B42">
        <v>158.47</v>
      </c>
      <c r="C42">
        <v>-4.3387254002405804</v>
      </c>
      <c r="D42">
        <v>4.25</v>
      </c>
      <c r="E42">
        <v>3.31</v>
      </c>
      <c r="F42">
        <v>125.69</v>
      </c>
    </row>
    <row r="43" spans="1:6" x14ac:dyDescent="0.2">
      <c r="A43">
        <v>2021</v>
      </c>
      <c r="B43">
        <v>183.28</v>
      </c>
      <c r="C43">
        <v>7.2229158081113702</v>
      </c>
      <c r="D43">
        <v>4.0449999999999999</v>
      </c>
      <c r="E43">
        <v>5.1100000000000003</v>
      </c>
      <c r="F43">
        <v>132.11000000000001</v>
      </c>
    </row>
    <row r="44" spans="1:6" x14ac:dyDescent="0.2">
      <c r="A44">
        <v>2022</v>
      </c>
      <c r="B44">
        <v>178.32</v>
      </c>
      <c r="C44">
        <v>4.2703475516290403</v>
      </c>
      <c r="D44">
        <v>3.609</v>
      </c>
      <c r="E44">
        <v>14.62</v>
      </c>
      <c r="F44">
        <v>151.41</v>
      </c>
    </row>
    <row r="45" spans="1:6" x14ac:dyDescent="0.2">
      <c r="A45">
        <v>2023</v>
      </c>
      <c r="B45">
        <v>214.1</v>
      </c>
      <c r="C45">
        <v>-0.84252884063909095</v>
      </c>
      <c r="D45">
        <v>4.1070000000000002</v>
      </c>
      <c r="E45">
        <v>17.14</v>
      </c>
      <c r="F45">
        <v>177.34</v>
      </c>
    </row>
    <row r="46" spans="1:6" x14ac:dyDescent="0.2">
      <c r="A46">
        <v>2024</v>
      </c>
      <c r="B46">
        <v>223.06</v>
      </c>
      <c r="C46">
        <v>0.51230579065713799</v>
      </c>
      <c r="D46">
        <v>4.4340000000000002</v>
      </c>
      <c r="E46">
        <v>3.71</v>
      </c>
      <c r="F46">
        <v>183.91</v>
      </c>
    </row>
    <row r="47" spans="1:6" x14ac:dyDescent="0.2">
      <c r="A47">
        <v>2025</v>
      </c>
      <c r="B47">
        <v>247.76</v>
      </c>
      <c r="E47">
        <v>4.46</v>
      </c>
    </row>
    <row r="48" spans="1:6" x14ac:dyDescent="0.2">
      <c r="A48">
        <v>2026</v>
      </c>
      <c r="B48">
        <v>269.92</v>
      </c>
      <c r="E48">
        <v>3.47</v>
      </c>
    </row>
    <row r="49" spans="1:5" x14ac:dyDescent="0.2">
      <c r="A49">
        <v>2027</v>
      </c>
      <c r="B49">
        <v>284.12</v>
      </c>
      <c r="E49">
        <v>3.03</v>
      </c>
    </row>
    <row r="50" spans="1:5" x14ac:dyDescent="0.2">
      <c r="A50">
        <v>2028</v>
      </c>
      <c r="B50">
        <v>298.58</v>
      </c>
      <c r="E50">
        <v>3</v>
      </c>
    </row>
    <row r="51" spans="1:5" x14ac:dyDescent="0.2">
      <c r="A51">
        <v>2029</v>
      </c>
      <c r="B51">
        <v>314.31</v>
      </c>
      <c r="E51">
        <v>3</v>
      </c>
    </row>
    <row r="52" spans="1:5" x14ac:dyDescent="0.2">
      <c r="A52">
        <v>2030</v>
      </c>
      <c r="B52">
        <v>331.13</v>
      </c>
      <c r="E52">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D013-6F13-5844-8BE2-A6838A2ADBB9}">
  <dimension ref="A1:E52"/>
  <sheetViews>
    <sheetView workbookViewId="0">
      <selection activeCell="I46" sqref="I46"/>
    </sheetView>
  </sheetViews>
  <sheetFormatPr baseColWidth="10" defaultColWidth="11.5" defaultRowHeight="15" x14ac:dyDescent="0.2"/>
  <cols>
    <col min="1" max="1" width="7.1640625" bestFit="1" customWidth="1"/>
    <col min="2" max="2" width="15" bestFit="1" customWidth="1"/>
    <col min="3" max="3" width="14.6640625" bestFit="1" customWidth="1"/>
    <col min="4" max="4" width="33.5" bestFit="1" customWidth="1"/>
    <col min="5" max="5" width="14" bestFit="1" customWidth="1"/>
  </cols>
  <sheetData>
    <row r="1" spans="1:5" x14ac:dyDescent="0.2">
      <c r="A1" t="s">
        <v>4</v>
      </c>
      <c r="B1" t="s">
        <v>19</v>
      </c>
      <c r="C1" t="s">
        <v>18</v>
      </c>
      <c r="D1" t="s">
        <v>11</v>
      </c>
      <c r="E1" t="s">
        <v>6</v>
      </c>
    </row>
    <row r="2" spans="1:5" x14ac:dyDescent="0.2">
      <c r="A2">
        <v>1980</v>
      </c>
      <c r="B2">
        <v>23.12</v>
      </c>
      <c r="C2">
        <v>0.200000000000884</v>
      </c>
      <c r="E2">
        <v>9.2899999999999991</v>
      </c>
    </row>
    <row r="3" spans="1:5" x14ac:dyDescent="0.2">
      <c r="A3">
        <v>1991</v>
      </c>
      <c r="B3">
        <v>34.869999999999997</v>
      </c>
      <c r="C3">
        <v>-11.892040861843499</v>
      </c>
      <c r="D3">
        <v>8.5</v>
      </c>
      <c r="E3">
        <v>34.229999999999997</v>
      </c>
    </row>
    <row r="4" spans="1:5" x14ac:dyDescent="0.2">
      <c r="A4">
        <v>1981</v>
      </c>
      <c r="B4">
        <v>23.71</v>
      </c>
      <c r="C4">
        <v>2.8667449595618302</v>
      </c>
      <c r="E4">
        <v>4.51</v>
      </c>
    </row>
    <row r="5" spans="1:5" x14ac:dyDescent="0.2">
      <c r="A5">
        <v>1982</v>
      </c>
      <c r="B5">
        <v>24.14</v>
      </c>
      <c r="C5">
        <v>2.8410885424489298</v>
      </c>
      <c r="E5">
        <v>7.02</v>
      </c>
    </row>
    <row r="6" spans="1:5" x14ac:dyDescent="0.2">
      <c r="A6">
        <v>1992</v>
      </c>
      <c r="B6">
        <v>38.86</v>
      </c>
      <c r="C6">
        <v>-3.0641803455863799</v>
      </c>
      <c r="D6">
        <v>9.9420000000000002</v>
      </c>
      <c r="E6">
        <v>22.95</v>
      </c>
    </row>
    <row r="7" spans="1:5" x14ac:dyDescent="0.2">
      <c r="A7">
        <v>1983</v>
      </c>
      <c r="B7">
        <v>21.91</v>
      </c>
      <c r="C7">
        <v>0.72296587183100802</v>
      </c>
      <c r="E7">
        <v>6.4</v>
      </c>
    </row>
    <row r="8" spans="1:5" x14ac:dyDescent="0.2">
      <c r="A8">
        <v>1984</v>
      </c>
      <c r="B8">
        <v>21.24</v>
      </c>
      <c r="C8">
        <v>2.6580476826593902</v>
      </c>
      <c r="E8">
        <v>8.65</v>
      </c>
    </row>
    <row r="9" spans="1:5" x14ac:dyDescent="0.2">
      <c r="A9">
        <v>1993</v>
      </c>
      <c r="B9">
        <v>40.26</v>
      </c>
      <c r="C9">
        <v>-0.57610851842561295</v>
      </c>
      <c r="D9">
        <v>12.098000000000001</v>
      </c>
      <c r="E9">
        <v>22.45</v>
      </c>
    </row>
    <row r="10" spans="1:5" x14ac:dyDescent="0.2">
      <c r="A10">
        <v>1985</v>
      </c>
      <c r="B10">
        <v>21.51</v>
      </c>
      <c r="C10">
        <v>-0.25306748466249501</v>
      </c>
      <c r="E10">
        <v>7.01</v>
      </c>
    </row>
    <row r="11" spans="1:5" x14ac:dyDescent="0.2">
      <c r="A11">
        <v>1986</v>
      </c>
      <c r="B11">
        <v>24.78</v>
      </c>
      <c r="C11">
        <v>1.53494882486977</v>
      </c>
      <c r="E11">
        <v>5.29</v>
      </c>
    </row>
    <row r="12" spans="1:5" x14ac:dyDescent="0.2">
      <c r="A12">
        <v>1994</v>
      </c>
      <c r="B12">
        <v>43.31</v>
      </c>
      <c r="C12">
        <v>2.9471545554106799</v>
      </c>
      <c r="D12">
        <v>10.847</v>
      </c>
      <c r="E12">
        <v>18.87</v>
      </c>
    </row>
    <row r="13" spans="1:5" x14ac:dyDescent="0.2">
      <c r="A13">
        <v>1987</v>
      </c>
      <c r="B13">
        <v>27.23</v>
      </c>
      <c r="C13">
        <v>4.0512295993237801</v>
      </c>
      <c r="E13">
        <v>8.68</v>
      </c>
    </row>
    <row r="14" spans="1:5" x14ac:dyDescent="0.2">
      <c r="A14">
        <v>1988</v>
      </c>
      <c r="B14">
        <v>29.8</v>
      </c>
      <c r="C14">
        <v>-6.5263143303553803E-2</v>
      </c>
      <c r="E14">
        <v>15.79</v>
      </c>
    </row>
    <row r="15" spans="1:5" x14ac:dyDescent="0.2">
      <c r="A15">
        <v>1995</v>
      </c>
      <c r="B15">
        <v>46.58</v>
      </c>
      <c r="C15">
        <v>1.4895254759304599</v>
      </c>
      <c r="D15">
        <v>10.167999999999999</v>
      </c>
      <c r="E15">
        <v>28.3</v>
      </c>
    </row>
    <row r="16" spans="1:5" x14ac:dyDescent="0.2">
      <c r="A16">
        <v>1989</v>
      </c>
      <c r="B16">
        <v>30.42</v>
      </c>
      <c r="C16">
        <v>0.73642482148690602</v>
      </c>
      <c r="E16">
        <v>16.95</v>
      </c>
    </row>
    <row r="17" spans="1:5" x14ac:dyDescent="0.2">
      <c r="A17">
        <v>1990</v>
      </c>
      <c r="B17">
        <v>34.479999999999997</v>
      </c>
      <c r="C17">
        <v>-3.4966597618174098</v>
      </c>
      <c r="E17">
        <v>28.97</v>
      </c>
    </row>
    <row r="18" spans="1:5" x14ac:dyDescent="0.2">
      <c r="A18">
        <v>1996</v>
      </c>
      <c r="B18">
        <v>46.83</v>
      </c>
      <c r="C18">
        <v>0.101234227633242</v>
      </c>
      <c r="D18">
        <v>10.022</v>
      </c>
      <c r="E18">
        <v>23.46</v>
      </c>
    </row>
    <row r="19" spans="1:5" x14ac:dyDescent="0.2">
      <c r="A19">
        <v>1997</v>
      </c>
      <c r="B19">
        <v>47.4</v>
      </c>
      <c r="C19">
        <v>2.9778790654310399</v>
      </c>
      <c r="D19">
        <v>8.9909999999999997</v>
      </c>
      <c r="E19">
        <v>18.3</v>
      </c>
    </row>
    <row r="20" spans="1:5" x14ac:dyDescent="0.2">
      <c r="A20">
        <v>1998</v>
      </c>
      <c r="B20">
        <v>48.78</v>
      </c>
      <c r="C20">
        <v>3.84810814449837</v>
      </c>
      <c r="D20">
        <v>8.9250000000000007</v>
      </c>
      <c r="E20">
        <v>14.23</v>
      </c>
    </row>
    <row r="21" spans="1:5" x14ac:dyDescent="0.2">
      <c r="A21">
        <v>1999</v>
      </c>
      <c r="B21">
        <v>49.16</v>
      </c>
      <c r="C21">
        <v>3.08605811588221</v>
      </c>
      <c r="D21">
        <v>6.9290000000000003</v>
      </c>
      <c r="E21">
        <v>9.9700000000000006</v>
      </c>
    </row>
    <row r="22" spans="1:5" x14ac:dyDescent="0.2">
      <c r="A22">
        <v>2000</v>
      </c>
      <c r="B22">
        <v>47.28</v>
      </c>
      <c r="C22">
        <v>4.4093750180640301</v>
      </c>
      <c r="D22">
        <v>6.5629999999999997</v>
      </c>
      <c r="E22">
        <v>9.7899999999999991</v>
      </c>
    </row>
    <row r="23" spans="1:5" x14ac:dyDescent="0.2">
      <c r="A23">
        <v>2001</v>
      </c>
      <c r="B23">
        <v>53.8</v>
      </c>
      <c r="C23">
        <v>4.0620261722602597</v>
      </c>
      <c r="D23">
        <v>5.6710000000000003</v>
      </c>
      <c r="E23">
        <v>9.15</v>
      </c>
    </row>
    <row r="24" spans="1:5" x14ac:dyDescent="0.2">
      <c r="A24">
        <v>2002</v>
      </c>
      <c r="B24">
        <v>67.64</v>
      </c>
      <c r="C24">
        <v>4.7300653080555302</v>
      </c>
      <c r="D24">
        <v>5.6079999999999997</v>
      </c>
      <c r="E24">
        <v>5.26</v>
      </c>
    </row>
    <row r="25" spans="1:5" x14ac:dyDescent="0.2">
      <c r="A25">
        <v>2003</v>
      </c>
      <c r="B25">
        <v>85.19</v>
      </c>
      <c r="C25">
        <v>3.9387776124272702</v>
      </c>
      <c r="D25">
        <v>5.79</v>
      </c>
      <c r="E25">
        <v>4.67</v>
      </c>
    </row>
    <row r="26" spans="1:5" x14ac:dyDescent="0.2">
      <c r="A26">
        <v>2004</v>
      </c>
      <c r="B26">
        <v>104.02</v>
      </c>
      <c r="C26">
        <v>4.9631253615630699</v>
      </c>
      <c r="D26">
        <v>5.8319999999999999</v>
      </c>
      <c r="E26">
        <v>6.75</v>
      </c>
    </row>
    <row r="27" spans="1:5" x14ac:dyDescent="0.2">
      <c r="A27">
        <v>2005</v>
      </c>
      <c r="B27">
        <v>113.1</v>
      </c>
      <c r="C27">
        <v>4.3002831846167302</v>
      </c>
      <c r="D27">
        <v>7.1890000000000001</v>
      </c>
      <c r="E27">
        <v>3.56</v>
      </c>
    </row>
    <row r="28" spans="1:5" x14ac:dyDescent="0.2">
      <c r="A28">
        <v>2006</v>
      </c>
      <c r="B28">
        <v>115.6</v>
      </c>
      <c r="C28">
        <v>3.9339316271205398</v>
      </c>
      <c r="D28">
        <v>7.4939999999999998</v>
      </c>
      <c r="E28">
        <v>3.9</v>
      </c>
    </row>
    <row r="29" spans="1:5" x14ac:dyDescent="0.2">
      <c r="A29">
        <v>2007</v>
      </c>
      <c r="B29">
        <v>140.12</v>
      </c>
      <c r="C29">
        <v>0.33235433787892499</v>
      </c>
      <c r="D29">
        <v>7.4059999999999997</v>
      </c>
      <c r="E29">
        <v>7.95</v>
      </c>
    </row>
    <row r="30" spans="1:5" x14ac:dyDescent="0.2">
      <c r="A30">
        <v>2008</v>
      </c>
      <c r="B30">
        <v>158.22999999999999</v>
      </c>
      <c r="C30">
        <v>0.99343708547965504</v>
      </c>
      <c r="D30">
        <v>7.8170000000000002</v>
      </c>
      <c r="E30">
        <v>6.06</v>
      </c>
    </row>
    <row r="31" spans="1:5" x14ac:dyDescent="0.2">
      <c r="A31">
        <v>2009</v>
      </c>
      <c r="B31">
        <v>130.81</v>
      </c>
      <c r="C31">
        <v>-6.7401660845502001</v>
      </c>
      <c r="D31">
        <v>10.029999999999999</v>
      </c>
      <c r="E31">
        <v>4.2</v>
      </c>
    </row>
    <row r="32" spans="1:5" x14ac:dyDescent="0.2">
      <c r="A32">
        <v>2010</v>
      </c>
      <c r="B32">
        <v>131.9</v>
      </c>
      <c r="C32">
        <v>1.06795068152046</v>
      </c>
      <c r="D32">
        <v>11.172000000000001</v>
      </c>
      <c r="E32">
        <v>4.87</v>
      </c>
    </row>
    <row r="33" spans="1:5" x14ac:dyDescent="0.2">
      <c r="A33">
        <v>2011</v>
      </c>
      <c r="B33">
        <v>141.71</v>
      </c>
      <c r="C33">
        <v>1.91670916599742</v>
      </c>
      <c r="D33">
        <v>11.029</v>
      </c>
      <c r="E33">
        <v>3.93</v>
      </c>
    </row>
    <row r="34" spans="1:5" x14ac:dyDescent="0.2">
      <c r="A34">
        <v>2012</v>
      </c>
      <c r="B34">
        <v>128.47</v>
      </c>
      <c r="C34">
        <v>-1.3394844651818101</v>
      </c>
      <c r="D34">
        <v>11.003</v>
      </c>
      <c r="E34">
        <v>5.66</v>
      </c>
    </row>
    <row r="35" spans="1:5" x14ac:dyDescent="0.2">
      <c r="A35">
        <v>2013</v>
      </c>
      <c r="B35">
        <v>135.65</v>
      </c>
      <c r="C35">
        <v>2.0321699067814598</v>
      </c>
      <c r="D35">
        <v>10.177</v>
      </c>
      <c r="E35">
        <v>1.71</v>
      </c>
    </row>
    <row r="36" spans="1:5" x14ac:dyDescent="0.2">
      <c r="A36">
        <v>2014</v>
      </c>
      <c r="B36">
        <v>141.13</v>
      </c>
      <c r="C36">
        <v>4.3343536411396704</v>
      </c>
      <c r="D36">
        <v>7.7249999999999996</v>
      </c>
      <c r="E36">
        <v>-0.23</v>
      </c>
    </row>
    <row r="37" spans="1:5" x14ac:dyDescent="0.2">
      <c r="A37">
        <v>2015</v>
      </c>
      <c r="B37">
        <v>125.24</v>
      </c>
      <c r="C37">
        <v>3.6598161540695502</v>
      </c>
      <c r="D37">
        <v>6.8129999999999997</v>
      </c>
      <c r="E37">
        <v>-7.0000000000000007E-2</v>
      </c>
    </row>
    <row r="38" spans="1:5" x14ac:dyDescent="0.2">
      <c r="A38">
        <v>2016</v>
      </c>
      <c r="B38">
        <v>128.97999999999999</v>
      </c>
      <c r="C38">
        <v>2.43864141309342</v>
      </c>
      <c r="D38">
        <v>5.1150000000000002</v>
      </c>
      <c r="E38">
        <v>0.4</v>
      </c>
    </row>
    <row r="39" spans="1:5" x14ac:dyDescent="0.2">
      <c r="A39">
        <v>2017</v>
      </c>
      <c r="B39">
        <v>143.34</v>
      </c>
      <c r="C39">
        <v>4.1241838945180502</v>
      </c>
      <c r="D39">
        <v>4.1559999999999997</v>
      </c>
      <c r="E39">
        <v>2.35</v>
      </c>
    </row>
    <row r="40" spans="1:5" x14ac:dyDescent="0.2">
      <c r="A40">
        <v>2018</v>
      </c>
      <c r="B40">
        <v>161.19</v>
      </c>
      <c r="C40">
        <v>5.6061381376887596</v>
      </c>
      <c r="D40">
        <v>3.7080000000000002</v>
      </c>
      <c r="E40">
        <v>2.84</v>
      </c>
    </row>
    <row r="41" spans="1:5" x14ac:dyDescent="0.2">
      <c r="A41">
        <v>2019</v>
      </c>
      <c r="B41">
        <v>164.93</v>
      </c>
      <c r="C41">
        <v>5.0771849508893299</v>
      </c>
      <c r="D41">
        <v>3.419</v>
      </c>
      <c r="E41">
        <v>3.37</v>
      </c>
    </row>
    <row r="42" spans="1:5" x14ac:dyDescent="0.2">
      <c r="A42">
        <v>2020</v>
      </c>
      <c r="B42">
        <v>158.47</v>
      </c>
      <c r="C42">
        <v>-4.3387254002405804</v>
      </c>
      <c r="D42">
        <v>4.25</v>
      </c>
      <c r="E42">
        <v>3.31</v>
      </c>
    </row>
    <row r="43" spans="1:5" x14ac:dyDescent="0.2">
      <c r="A43">
        <v>2021</v>
      </c>
      <c r="B43">
        <v>183.28</v>
      </c>
      <c r="C43">
        <v>7.2229158081113702</v>
      </c>
      <c r="D43">
        <v>4.0449999999999999</v>
      </c>
      <c r="E43">
        <v>5.1100000000000003</v>
      </c>
    </row>
    <row r="44" spans="1:5" x14ac:dyDescent="0.2">
      <c r="A44">
        <v>2022</v>
      </c>
      <c r="B44">
        <v>178.32</v>
      </c>
      <c r="C44">
        <v>4.2703475516290403</v>
      </c>
      <c r="D44">
        <v>3.609</v>
      </c>
      <c r="E44">
        <v>14.62</v>
      </c>
    </row>
    <row r="45" spans="1:5" x14ac:dyDescent="0.2">
      <c r="A45">
        <v>2023</v>
      </c>
      <c r="B45">
        <v>214.1</v>
      </c>
      <c r="C45">
        <v>-0.84252884063909095</v>
      </c>
      <c r="D45">
        <v>4.1070000000000002</v>
      </c>
      <c r="E45">
        <v>17.14</v>
      </c>
    </row>
    <row r="46" spans="1:5" x14ac:dyDescent="0.2">
      <c r="A46">
        <v>2024</v>
      </c>
      <c r="B46">
        <v>223.06</v>
      </c>
      <c r="C46">
        <v>0.51230579065713799</v>
      </c>
      <c r="D46">
        <v>4.4340000000000002</v>
      </c>
      <c r="E46">
        <v>3.71</v>
      </c>
    </row>
    <row r="47" spans="1:5" x14ac:dyDescent="0.2">
      <c r="A47">
        <v>2025</v>
      </c>
      <c r="B47">
        <v>247.76</v>
      </c>
      <c r="E47">
        <v>4.46</v>
      </c>
    </row>
    <row r="48" spans="1:5" x14ac:dyDescent="0.2">
      <c r="A48">
        <v>2026</v>
      </c>
      <c r="B48">
        <v>269.92</v>
      </c>
      <c r="E48">
        <v>3.47</v>
      </c>
    </row>
    <row r="49" spans="1:5" x14ac:dyDescent="0.2">
      <c r="A49">
        <v>2027</v>
      </c>
      <c r="B49">
        <v>284.12</v>
      </c>
      <c r="E49">
        <v>3.03</v>
      </c>
    </row>
    <row r="50" spans="1:5" x14ac:dyDescent="0.2">
      <c r="A50">
        <v>2028</v>
      </c>
      <c r="B50">
        <v>298.58</v>
      </c>
      <c r="E50">
        <v>3</v>
      </c>
    </row>
    <row r="51" spans="1:5" x14ac:dyDescent="0.2">
      <c r="A51">
        <v>2029</v>
      </c>
      <c r="B51">
        <v>314.31</v>
      </c>
      <c r="E51">
        <v>3</v>
      </c>
    </row>
    <row r="52" spans="1:5" x14ac:dyDescent="0.2">
      <c r="A52">
        <v>2030</v>
      </c>
      <c r="B52">
        <v>331.13</v>
      </c>
      <c r="E52">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EEED-58C7-3748-A358-90D084C05E32}">
  <dimension ref="A1:D52"/>
  <sheetViews>
    <sheetView workbookViewId="0">
      <selection activeCell="I46" sqref="I46"/>
    </sheetView>
  </sheetViews>
  <sheetFormatPr baseColWidth="10" defaultColWidth="11.5" defaultRowHeight="15" x14ac:dyDescent="0.2"/>
  <cols>
    <col min="1" max="1" width="7.1640625" bestFit="1" customWidth="1"/>
    <col min="2" max="2" width="15" bestFit="1" customWidth="1"/>
    <col min="3" max="3" width="14.6640625" bestFit="1" customWidth="1"/>
    <col min="4" max="4" width="33.5" bestFit="1" customWidth="1"/>
  </cols>
  <sheetData>
    <row r="1" spans="1:4" x14ac:dyDescent="0.2">
      <c r="A1" t="s">
        <v>4</v>
      </c>
      <c r="B1" t="s">
        <v>19</v>
      </c>
      <c r="C1" t="s">
        <v>18</v>
      </c>
      <c r="D1" t="s">
        <v>11</v>
      </c>
    </row>
    <row r="2" spans="1:4" x14ac:dyDescent="0.2">
      <c r="A2">
        <v>1980</v>
      </c>
      <c r="B2">
        <v>23.12</v>
      </c>
      <c r="C2">
        <v>0.200000000000884</v>
      </c>
    </row>
    <row r="3" spans="1:4" x14ac:dyDescent="0.2">
      <c r="A3">
        <v>1991</v>
      </c>
      <c r="B3">
        <v>34.869999999999997</v>
      </c>
      <c r="C3">
        <v>-11.892040861843499</v>
      </c>
      <c r="D3">
        <v>8.5</v>
      </c>
    </row>
    <row r="4" spans="1:4" x14ac:dyDescent="0.2">
      <c r="A4">
        <v>1981</v>
      </c>
      <c r="B4">
        <v>23.71</v>
      </c>
      <c r="C4">
        <v>2.8667449595618302</v>
      </c>
    </row>
    <row r="5" spans="1:4" x14ac:dyDescent="0.2">
      <c r="A5">
        <v>1992</v>
      </c>
      <c r="B5">
        <v>38.86</v>
      </c>
      <c r="C5">
        <v>-3.0641803455863799</v>
      </c>
      <c r="D5">
        <v>9.9420000000000002</v>
      </c>
    </row>
    <row r="6" spans="1:4" x14ac:dyDescent="0.2">
      <c r="A6">
        <v>1982</v>
      </c>
      <c r="B6">
        <v>24.14</v>
      </c>
      <c r="C6">
        <v>2.8410885424489298</v>
      </c>
    </row>
    <row r="7" spans="1:4" x14ac:dyDescent="0.2">
      <c r="A7">
        <v>1993</v>
      </c>
      <c r="B7">
        <v>40.26</v>
      </c>
      <c r="C7">
        <v>-0.57610851842561295</v>
      </c>
      <c r="D7">
        <v>12.098000000000001</v>
      </c>
    </row>
    <row r="8" spans="1:4" x14ac:dyDescent="0.2">
      <c r="A8">
        <v>1983</v>
      </c>
      <c r="B8">
        <v>21.91</v>
      </c>
      <c r="C8">
        <v>0.72296587183100802</v>
      </c>
    </row>
    <row r="9" spans="1:4" x14ac:dyDescent="0.2">
      <c r="A9">
        <v>1994</v>
      </c>
      <c r="B9">
        <v>43.31</v>
      </c>
      <c r="C9">
        <v>2.9471545554106799</v>
      </c>
      <c r="D9">
        <v>10.847</v>
      </c>
    </row>
    <row r="10" spans="1:4" x14ac:dyDescent="0.2">
      <c r="A10">
        <v>1984</v>
      </c>
      <c r="B10">
        <v>21.24</v>
      </c>
      <c r="C10">
        <v>2.6580476826593902</v>
      </c>
    </row>
    <row r="11" spans="1:4" x14ac:dyDescent="0.2">
      <c r="A11">
        <v>1995</v>
      </c>
      <c r="B11">
        <v>46.58</v>
      </c>
      <c r="C11">
        <v>1.4895254759304599</v>
      </c>
      <c r="D11">
        <v>10.167999999999999</v>
      </c>
    </row>
    <row r="12" spans="1:4" x14ac:dyDescent="0.2">
      <c r="A12">
        <v>1985</v>
      </c>
      <c r="B12">
        <v>21.51</v>
      </c>
      <c r="C12">
        <v>-0.25306748466249501</v>
      </c>
    </row>
    <row r="13" spans="1:4" x14ac:dyDescent="0.2">
      <c r="A13">
        <v>1996</v>
      </c>
      <c r="B13">
        <v>46.83</v>
      </c>
      <c r="C13">
        <v>0.101234227633242</v>
      </c>
      <c r="D13">
        <v>10.022</v>
      </c>
    </row>
    <row r="14" spans="1:4" x14ac:dyDescent="0.2">
      <c r="A14">
        <v>1986</v>
      </c>
      <c r="B14">
        <v>24.78</v>
      </c>
      <c r="C14">
        <v>1.53494882486977</v>
      </c>
    </row>
    <row r="15" spans="1:4" x14ac:dyDescent="0.2">
      <c r="A15">
        <v>1997</v>
      </c>
      <c r="B15">
        <v>47.4</v>
      </c>
      <c r="C15">
        <v>2.9778790654310399</v>
      </c>
      <c r="D15">
        <v>8.9909999999999997</v>
      </c>
    </row>
    <row r="16" spans="1:4" x14ac:dyDescent="0.2">
      <c r="A16">
        <v>1987</v>
      </c>
      <c r="B16">
        <v>27.23</v>
      </c>
      <c r="C16">
        <v>4.0512295993237801</v>
      </c>
    </row>
    <row r="17" spans="1:4" x14ac:dyDescent="0.2">
      <c r="A17">
        <v>1998</v>
      </c>
      <c r="B17">
        <v>48.78</v>
      </c>
      <c r="C17">
        <v>3.84810814449837</v>
      </c>
      <c r="D17">
        <v>8.9250000000000007</v>
      </c>
    </row>
    <row r="18" spans="1:4" x14ac:dyDescent="0.2">
      <c r="A18">
        <v>1988</v>
      </c>
      <c r="B18">
        <v>29.8</v>
      </c>
      <c r="C18">
        <v>-6.5263143303553803E-2</v>
      </c>
    </row>
    <row r="19" spans="1:4" x14ac:dyDescent="0.2">
      <c r="A19">
        <v>1999</v>
      </c>
      <c r="B19">
        <v>49.16</v>
      </c>
      <c r="C19">
        <v>3.08605811588221</v>
      </c>
      <c r="D19">
        <v>6.9290000000000003</v>
      </c>
    </row>
    <row r="20" spans="1:4" x14ac:dyDescent="0.2">
      <c r="A20">
        <v>1989</v>
      </c>
      <c r="B20">
        <v>30.42</v>
      </c>
      <c r="C20">
        <v>0.73642482148690602</v>
      </c>
    </row>
    <row r="21" spans="1:4" x14ac:dyDescent="0.2">
      <c r="A21">
        <v>2000</v>
      </c>
      <c r="B21">
        <v>47.28</v>
      </c>
      <c r="C21">
        <v>4.4093750180640301</v>
      </c>
      <c r="D21">
        <v>6.5629999999999997</v>
      </c>
    </row>
    <row r="22" spans="1:4" x14ac:dyDescent="0.2">
      <c r="A22">
        <v>1990</v>
      </c>
      <c r="B22">
        <v>34.479999999999997</v>
      </c>
      <c r="C22">
        <v>-3.4966597618174098</v>
      </c>
    </row>
    <row r="23" spans="1:4" x14ac:dyDescent="0.2">
      <c r="A23">
        <v>2001</v>
      </c>
      <c r="B23">
        <v>53.8</v>
      </c>
      <c r="C23">
        <v>4.0620261722602597</v>
      </c>
      <c r="D23">
        <v>5.6710000000000003</v>
      </c>
    </row>
    <row r="24" spans="1:4" x14ac:dyDescent="0.2">
      <c r="A24">
        <v>2002</v>
      </c>
      <c r="B24">
        <v>67.64</v>
      </c>
      <c r="C24">
        <v>4.7300653080555302</v>
      </c>
      <c r="D24">
        <v>5.6079999999999997</v>
      </c>
    </row>
    <row r="25" spans="1:4" x14ac:dyDescent="0.2">
      <c r="A25">
        <v>2003</v>
      </c>
      <c r="B25">
        <v>85.19</v>
      </c>
      <c r="C25">
        <v>3.9387776124272702</v>
      </c>
      <c r="D25">
        <v>5.79</v>
      </c>
    </row>
    <row r="26" spans="1:4" x14ac:dyDescent="0.2">
      <c r="A26">
        <v>2004</v>
      </c>
      <c r="B26">
        <v>104.02</v>
      </c>
      <c r="C26">
        <v>4.9631253615630699</v>
      </c>
      <c r="D26">
        <v>5.8319999999999999</v>
      </c>
    </row>
    <row r="27" spans="1:4" x14ac:dyDescent="0.2">
      <c r="A27">
        <v>2005</v>
      </c>
      <c r="B27">
        <v>113.1</v>
      </c>
      <c r="C27">
        <v>4.3002831846167302</v>
      </c>
      <c r="D27">
        <v>7.1890000000000001</v>
      </c>
    </row>
    <row r="28" spans="1:4" x14ac:dyDescent="0.2">
      <c r="A28">
        <v>2006</v>
      </c>
      <c r="B28">
        <v>115.6</v>
      </c>
      <c r="C28">
        <v>3.9339316271205398</v>
      </c>
      <c r="D28">
        <v>7.4939999999999998</v>
      </c>
    </row>
    <row r="29" spans="1:4" x14ac:dyDescent="0.2">
      <c r="A29">
        <v>2007</v>
      </c>
      <c r="B29">
        <v>140.12</v>
      </c>
      <c r="C29">
        <v>0.33235433787892499</v>
      </c>
      <c r="D29">
        <v>7.4059999999999997</v>
      </c>
    </row>
    <row r="30" spans="1:4" x14ac:dyDescent="0.2">
      <c r="A30">
        <v>2008</v>
      </c>
      <c r="B30">
        <v>158.22999999999999</v>
      </c>
      <c r="C30">
        <v>0.99343708547965504</v>
      </c>
      <c r="D30">
        <v>7.8170000000000002</v>
      </c>
    </row>
    <row r="31" spans="1:4" x14ac:dyDescent="0.2">
      <c r="A31">
        <v>2009</v>
      </c>
      <c r="B31">
        <v>130.81</v>
      </c>
      <c r="C31">
        <v>-6.7401660845502001</v>
      </c>
      <c r="D31">
        <v>10.029999999999999</v>
      </c>
    </row>
    <row r="32" spans="1:4" x14ac:dyDescent="0.2">
      <c r="A32">
        <v>2010</v>
      </c>
      <c r="B32">
        <v>131.9</v>
      </c>
      <c r="C32">
        <v>1.06795068152046</v>
      </c>
      <c r="D32">
        <v>11.172000000000001</v>
      </c>
    </row>
    <row r="33" spans="1:4" x14ac:dyDescent="0.2">
      <c r="A33">
        <v>2011</v>
      </c>
      <c r="B33">
        <v>141.71</v>
      </c>
      <c r="C33">
        <v>1.91670916599742</v>
      </c>
      <c r="D33">
        <v>11.029</v>
      </c>
    </row>
    <row r="34" spans="1:4" x14ac:dyDescent="0.2">
      <c r="A34">
        <v>2012</v>
      </c>
      <c r="B34">
        <v>128.47</v>
      </c>
      <c r="C34">
        <v>-1.3394844651818101</v>
      </c>
      <c r="D34">
        <v>11.003</v>
      </c>
    </row>
    <row r="35" spans="1:4" x14ac:dyDescent="0.2">
      <c r="A35">
        <v>2013</v>
      </c>
      <c r="B35">
        <v>135.65</v>
      </c>
      <c r="C35">
        <v>2.0321699067814598</v>
      </c>
      <c r="D35">
        <v>10.177</v>
      </c>
    </row>
    <row r="36" spans="1:4" x14ac:dyDescent="0.2">
      <c r="A36">
        <v>2014</v>
      </c>
      <c r="B36">
        <v>141.13</v>
      </c>
      <c r="C36">
        <v>4.3343536411396704</v>
      </c>
      <c r="D36">
        <v>7.7249999999999996</v>
      </c>
    </row>
    <row r="37" spans="1:4" x14ac:dyDescent="0.2">
      <c r="A37">
        <v>2015</v>
      </c>
      <c r="B37">
        <v>125.24</v>
      </c>
      <c r="C37">
        <v>3.6598161540695502</v>
      </c>
      <c r="D37">
        <v>6.8129999999999997</v>
      </c>
    </row>
    <row r="38" spans="1:4" x14ac:dyDescent="0.2">
      <c r="A38">
        <v>2016</v>
      </c>
      <c r="B38">
        <v>128.97999999999999</v>
      </c>
      <c r="C38">
        <v>2.43864141309342</v>
      </c>
      <c r="D38">
        <v>5.1150000000000002</v>
      </c>
    </row>
    <row r="39" spans="1:4" x14ac:dyDescent="0.2">
      <c r="A39">
        <v>2017</v>
      </c>
      <c r="B39">
        <v>143.34</v>
      </c>
      <c r="C39">
        <v>4.1241838945180502</v>
      </c>
      <c r="D39">
        <v>4.1559999999999997</v>
      </c>
    </row>
    <row r="40" spans="1:4" x14ac:dyDescent="0.2">
      <c r="A40">
        <v>2018</v>
      </c>
      <c r="B40">
        <v>161.19</v>
      </c>
      <c r="C40">
        <v>5.6061381376887596</v>
      </c>
      <c r="D40">
        <v>3.7080000000000002</v>
      </c>
    </row>
    <row r="41" spans="1:4" x14ac:dyDescent="0.2">
      <c r="A41">
        <v>2019</v>
      </c>
      <c r="B41">
        <v>164.93</v>
      </c>
      <c r="C41">
        <v>5.0771849508893299</v>
      </c>
      <c r="D41">
        <v>3.419</v>
      </c>
    </row>
    <row r="42" spans="1:4" x14ac:dyDescent="0.2">
      <c r="A42">
        <v>2020</v>
      </c>
      <c r="B42">
        <v>158.47</v>
      </c>
      <c r="C42">
        <v>-4.3387254002405804</v>
      </c>
      <c r="D42">
        <v>4.25</v>
      </c>
    </row>
    <row r="43" spans="1:4" x14ac:dyDescent="0.2">
      <c r="A43">
        <v>2021</v>
      </c>
      <c r="B43">
        <v>183.28</v>
      </c>
      <c r="C43">
        <v>7.2229158081113702</v>
      </c>
      <c r="D43">
        <v>4.0449999999999999</v>
      </c>
    </row>
    <row r="44" spans="1:4" x14ac:dyDescent="0.2">
      <c r="A44">
        <v>2022</v>
      </c>
      <c r="B44">
        <v>178.32</v>
      </c>
      <c r="C44">
        <v>4.2703475516290403</v>
      </c>
      <c r="D44">
        <v>3.609</v>
      </c>
    </row>
    <row r="45" spans="1:4" x14ac:dyDescent="0.2">
      <c r="A45">
        <v>2023</v>
      </c>
      <c r="B45">
        <v>214.1</v>
      </c>
      <c r="C45">
        <v>-0.84252884063909095</v>
      </c>
      <c r="D45">
        <v>4.1070000000000002</v>
      </c>
    </row>
    <row r="46" spans="1:4" x14ac:dyDescent="0.2">
      <c r="A46">
        <v>2024</v>
      </c>
      <c r="B46">
        <v>223.06</v>
      </c>
      <c r="C46">
        <v>0.51230579065713799</v>
      </c>
      <c r="D46">
        <v>4.4340000000000002</v>
      </c>
    </row>
    <row r="47" spans="1:4" x14ac:dyDescent="0.2">
      <c r="A47">
        <v>2025</v>
      </c>
      <c r="B47">
        <v>247.76</v>
      </c>
    </row>
    <row r="48" spans="1:4" x14ac:dyDescent="0.2">
      <c r="A48">
        <v>2026</v>
      </c>
      <c r="B48">
        <v>269.92</v>
      </c>
    </row>
    <row r="49" spans="1:2" x14ac:dyDescent="0.2">
      <c r="A49">
        <v>2027</v>
      </c>
      <c r="B49">
        <v>284.12</v>
      </c>
    </row>
    <row r="50" spans="1:2" x14ac:dyDescent="0.2">
      <c r="A50">
        <v>2028</v>
      </c>
      <c r="B50">
        <v>298.58</v>
      </c>
    </row>
    <row r="51" spans="1:2" x14ac:dyDescent="0.2">
      <c r="A51">
        <v>2029</v>
      </c>
      <c r="B51">
        <v>314.31</v>
      </c>
    </row>
    <row r="52" spans="1:2" x14ac:dyDescent="0.2">
      <c r="A52">
        <v>2030</v>
      </c>
      <c r="B52">
        <v>331.13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0D91-903D-F643-A441-627187A78623}">
  <dimension ref="A1:C52"/>
  <sheetViews>
    <sheetView workbookViewId="0">
      <selection activeCell="I46" sqref="I46"/>
    </sheetView>
  </sheetViews>
  <sheetFormatPr baseColWidth="10" defaultColWidth="11.5" defaultRowHeight="15" x14ac:dyDescent="0.2"/>
  <cols>
    <col min="1" max="1" width="80.6640625" bestFit="1" customWidth="1"/>
    <col min="2" max="2" width="15" bestFit="1" customWidth="1"/>
    <col min="3" max="3" width="14.6640625" bestFit="1" customWidth="1"/>
  </cols>
  <sheetData>
    <row r="1" spans="1:3" x14ac:dyDescent="0.2">
      <c r="A1" t="s">
        <v>14</v>
      </c>
      <c r="B1" t="s">
        <v>16</v>
      </c>
      <c r="C1" t="s">
        <v>18</v>
      </c>
    </row>
    <row r="2" spans="1:3" x14ac:dyDescent="0.2">
      <c r="A2">
        <v>1980</v>
      </c>
      <c r="B2">
        <v>23.12</v>
      </c>
      <c r="C2">
        <v>0.200000000000884</v>
      </c>
    </row>
    <row r="3" spans="1:3" x14ac:dyDescent="0.2">
      <c r="A3">
        <v>1981</v>
      </c>
      <c r="B3">
        <v>23.71</v>
      </c>
      <c r="C3">
        <v>2.8667449595618302</v>
      </c>
    </row>
    <row r="4" spans="1:3" x14ac:dyDescent="0.2">
      <c r="A4">
        <v>1982</v>
      </c>
      <c r="B4">
        <v>24.14</v>
      </c>
      <c r="C4">
        <v>2.8410885424489298</v>
      </c>
    </row>
    <row r="5" spans="1:3" x14ac:dyDescent="0.2">
      <c r="A5">
        <v>1983</v>
      </c>
      <c r="B5">
        <v>21.91</v>
      </c>
      <c r="C5">
        <v>0.72296587183100802</v>
      </c>
    </row>
    <row r="6" spans="1:3" x14ac:dyDescent="0.2">
      <c r="A6">
        <v>1984</v>
      </c>
      <c r="B6">
        <v>21.24</v>
      </c>
      <c r="C6">
        <v>2.6580476826593902</v>
      </c>
    </row>
    <row r="7" spans="1:3" x14ac:dyDescent="0.2">
      <c r="A7">
        <v>1985</v>
      </c>
      <c r="B7">
        <v>21.51</v>
      </c>
      <c r="C7">
        <v>-0.25306748466249501</v>
      </c>
    </row>
    <row r="8" spans="1:3" x14ac:dyDescent="0.2">
      <c r="A8">
        <v>1986</v>
      </c>
      <c r="B8">
        <v>24.78</v>
      </c>
      <c r="C8">
        <v>1.53494882486977</v>
      </c>
    </row>
    <row r="9" spans="1:3" x14ac:dyDescent="0.2">
      <c r="A9">
        <v>1987</v>
      </c>
      <c r="B9">
        <v>27.23</v>
      </c>
      <c r="C9">
        <v>4.0512295993237801</v>
      </c>
    </row>
    <row r="10" spans="1:3" x14ac:dyDescent="0.2">
      <c r="A10">
        <v>1988</v>
      </c>
      <c r="B10">
        <v>29.8</v>
      </c>
      <c r="C10">
        <v>-6.5263143303553803E-2</v>
      </c>
    </row>
    <row r="11" spans="1:3" x14ac:dyDescent="0.2">
      <c r="A11">
        <v>1989</v>
      </c>
      <c r="B11">
        <v>30.42</v>
      </c>
      <c r="C11">
        <v>0.73642482148690602</v>
      </c>
    </row>
    <row r="12" spans="1:3" x14ac:dyDescent="0.2">
      <c r="A12">
        <v>1990</v>
      </c>
      <c r="B12">
        <v>34.479999999999997</v>
      </c>
      <c r="C12">
        <v>-3.4966597618174098</v>
      </c>
    </row>
    <row r="13" spans="1:3" x14ac:dyDescent="0.2">
      <c r="A13">
        <v>1991</v>
      </c>
      <c r="B13">
        <v>34.869999999999997</v>
      </c>
      <c r="C13">
        <v>-11.892040861843499</v>
      </c>
    </row>
    <row r="14" spans="1:3" x14ac:dyDescent="0.2">
      <c r="A14">
        <v>1992</v>
      </c>
      <c r="B14">
        <v>38.86</v>
      </c>
      <c r="C14">
        <v>-3.0641803455863799</v>
      </c>
    </row>
    <row r="15" spans="1:3" x14ac:dyDescent="0.2">
      <c r="A15">
        <v>1993</v>
      </c>
      <c r="B15">
        <v>40.26</v>
      </c>
      <c r="C15">
        <v>-0.57610851842561295</v>
      </c>
    </row>
    <row r="16" spans="1:3" x14ac:dyDescent="0.2">
      <c r="A16">
        <v>1994</v>
      </c>
      <c r="B16">
        <v>43.31</v>
      </c>
      <c r="C16">
        <v>2.9471545554106799</v>
      </c>
    </row>
    <row r="17" spans="1:3" x14ac:dyDescent="0.2">
      <c r="A17">
        <v>1995</v>
      </c>
      <c r="B17">
        <v>46.58</v>
      </c>
      <c r="C17">
        <v>1.4895254759304599</v>
      </c>
    </row>
    <row r="18" spans="1:3" x14ac:dyDescent="0.2">
      <c r="A18">
        <v>1996</v>
      </c>
      <c r="B18">
        <v>46.83</v>
      </c>
      <c r="C18">
        <v>0.101234227633242</v>
      </c>
    </row>
    <row r="19" spans="1:3" x14ac:dyDescent="0.2">
      <c r="A19">
        <v>1997</v>
      </c>
      <c r="B19">
        <v>47.4</v>
      </c>
      <c r="C19">
        <v>2.9778790654310399</v>
      </c>
    </row>
    <row r="20" spans="1:3" x14ac:dyDescent="0.2">
      <c r="A20">
        <v>1998</v>
      </c>
      <c r="B20">
        <v>48.78</v>
      </c>
      <c r="C20">
        <v>3.84810814449837</v>
      </c>
    </row>
    <row r="21" spans="1:3" x14ac:dyDescent="0.2">
      <c r="A21">
        <v>1999</v>
      </c>
      <c r="B21">
        <v>49.16</v>
      </c>
      <c r="C21">
        <v>3.08605811588221</v>
      </c>
    </row>
    <row r="22" spans="1:3" x14ac:dyDescent="0.2">
      <c r="A22">
        <v>2000</v>
      </c>
      <c r="B22">
        <v>47.28</v>
      </c>
      <c r="C22">
        <v>4.4093750180640301</v>
      </c>
    </row>
    <row r="23" spans="1:3" x14ac:dyDescent="0.2">
      <c r="A23">
        <v>2001</v>
      </c>
      <c r="B23">
        <v>53.8</v>
      </c>
      <c r="C23">
        <v>4.0620261722602597</v>
      </c>
    </row>
    <row r="24" spans="1:3" x14ac:dyDescent="0.2">
      <c r="A24">
        <v>2002</v>
      </c>
      <c r="B24">
        <v>67.64</v>
      </c>
      <c r="C24">
        <v>4.7300653080555302</v>
      </c>
    </row>
    <row r="25" spans="1:3" x14ac:dyDescent="0.2">
      <c r="A25">
        <v>2003</v>
      </c>
      <c r="B25">
        <v>85.19</v>
      </c>
      <c r="C25">
        <v>3.9387776124272702</v>
      </c>
    </row>
    <row r="26" spans="1:3" x14ac:dyDescent="0.2">
      <c r="A26">
        <v>2004</v>
      </c>
      <c r="B26">
        <v>104.02</v>
      </c>
      <c r="C26">
        <v>4.9631253615630699</v>
      </c>
    </row>
    <row r="27" spans="1:3" x14ac:dyDescent="0.2">
      <c r="A27">
        <v>2005</v>
      </c>
      <c r="B27">
        <v>113.1</v>
      </c>
      <c r="C27">
        <v>4.3002831846167302</v>
      </c>
    </row>
    <row r="28" spans="1:3" x14ac:dyDescent="0.2">
      <c r="A28">
        <v>2006</v>
      </c>
      <c r="B28">
        <v>115.6</v>
      </c>
      <c r="C28">
        <v>3.9339316271205398</v>
      </c>
    </row>
    <row r="29" spans="1:3" x14ac:dyDescent="0.2">
      <c r="A29">
        <v>2007</v>
      </c>
      <c r="B29">
        <v>140.12</v>
      </c>
      <c r="C29">
        <v>0.33235433787892499</v>
      </c>
    </row>
    <row r="30" spans="1:3" x14ac:dyDescent="0.2">
      <c r="A30">
        <v>2008</v>
      </c>
      <c r="B30">
        <v>158.22999999999999</v>
      </c>
      <c r="C30">
        <v>0.99343708547965504</v>
      </c>
    </row>
    <row r="31" spans="1:3" x14ac:dyDescent="0.2">
      <c r="A31">
        <v>2009</v>
      </c>
      <c r="B31">
        <v>130.81</v>
      </c>
      <c r="C31">
        <v>-6.7401660845502001</v>
      </c>
    </row>
    <row r="32" spans="1:3" x14ac:dyDescent="0.2">
      <c r="A32">
        <v>2010</v>
      </c>
      <c r="B32">
        <v>131.9</v>
      </c>
      <c r="C32">
        <v>1.06795068152046</v>
      </c>
    </row>
    <row r="33" spans="1:3" x14ac:dyDescent="0.2">
      <c r="A33">
        <v>2011</v>
      </c>
      <c r="B33">
        <v>141.71</v>
      </c>
      <c r="C33">
        <v>1.91670916599742</v>
      </c>
    </row>
    <row r="34" spans="1:3" x14ac:dyDescent="0.2">
      <c r="A34">
        <v>2012</v>
      </c>
      <c r="B34">
        <v>128.47</v>
      </c>
      <c r="C34">
        <v>-1.3394844651818101</v>
      </c>
    </row>
    <row r="35" spans="1:3" x14ac:dyDescent="0.2">
      <c r="A35">
        <v>2013</v>
      </c>
      <c r="B35">
        <v>135.65</v>
      </c>
      <c r="C35">
        <v>2.0321699067814598</v>
      </c>
    </row>
    <row r="36" spans="1:3" x14ac:dyDescent="0.2">
      <c r="A36">
        <v>2014</v>
      </c>
      <c r="B36">
        <v>141.13</v>
      </c>
      <c r="C36">
        <v>4.3343536411396704</v>
      </c>
    </row>
    <row r="37" spans="1:3" x14ac:dyDescent="0.2">
      <c r="A37">
        <v>2015</v>
      </c>
      <c r="B37">
        <v>125.24</v>
      </c>
      <c r="C37">
        <v>3.6598161540695502</v>
      </c>
    </row>
    <row r="38" spans="1:3" x14ac:dyDescent="0.2">
      <c r="A38">
        <v>2016</v>
      </c>
      <c r="B38">
        <v>128.97999999999999</v>
      </c>
      <c r="C38">
        <v>2.43864141309342</v>
      </c>
    </row>
    <row r="39" spans="1:3" x14ac:dyDescent="0.2">
      <c r="A39">
        <v>2017</v>
      </c>
      <c r="B39">
        <v>143.34</v>
      </c>
      <c r="C39">
        <v>4.1241838945180502</v>
      </c>
    </row>
    <row r="40" spans="1:3" x14ac:dyDescent="0.2">
      <c r="A40">
        <v>2018</v>
      </c>
      <c r="B40">
        <v>161.19</v>
      </c>
      <c r="C40">
        <v>5.6061381376887596</v>
      </c>
    </row>
    <row r="41" spans="1:3" x14ac:dyDescent="0.2">
      <c r="A41">
        <v>2019</v>
      </c>
      <c r="B41">
        <v>164.93</v>
      </c>
      <c r="C41">
        <v>5.0771849508893299</v>
      </c>
    </row>
    <row r="42" spans="1:3" x14ac:dyDescent="0.2">
      <c r="A42">
        <v>2020</v>
      </c>
      <c r="B42">
        <v>158.47</v>
      </c>
      <c r="C42">
        <v>-4.3387254002405804</v>
      </c>
    </row>
    <row r="43" spans="1:3" x14ac:dyDescent="0.2">
      <c r="A43">
        <v>2021</v>
      </c>
      <c r="B43">
        <v>183.28</v>
      </c>
      <c r="C43">
        <v>7.2229158081113702</v>
      </c>
    </row>
    <row r="44" spans="1:3" x14ac:dyDescent="0.2">
      <c r="A44">
        <v>2022</v>
      </c>
      <c r="B44">
        <v>178.32</v>
      </c>
      <c r="C44">
        <v>4.2703475516290403</v>
      </c>
    </row>
    <row r="45" spans="1:3" x14ac:dyDescent="0.2">
      <c r="A45">
        <v>2023</v>
      </c>
      <c r="B45">
        <v>214.1</v>
      </c>
      <c r="C45">
        <v>-0.84252884063909095</v>
      </c>
    </row>
    <row r="46" spans="1:3" x14ac:dyDescent="0.2">
      <c r="A46">
        <v>2024</v>
      </c>
      <c r="B46">
        <v>223.06</v>
      </c>
      <c r="C46">
        <v>0.51230579065713799</v>
      </c>
    </row>
    <row r="47" spans="1:3" x14ac:dyDescent="0.2">
      <c r="A47">
        <v>2025</v>
      </c>
      <c r="B47">
        <v>247.76</v>
      </c>
    </row>
    <row r="48" spans="1:3" x14ac:dyDescent="0.2">
      <c r="A48">
        <v>2026</v>
      </c>
      <c r="B48">
        <v>269.92</v>
      </c>
    </row>
    <row r="49" spans="1:2" x14ac:dyDescent="0.2">
      <c r="A49">
        <v>2027</v>
      </c>
      <c r="B49">
        <v>284.12</v>
      </c>
    </row>
    <row r="50" spans="1:2" x14ac:dyDescent="0.2">
      <c r="A50">
        <v>2028</v>
      </c>
      <c r="B50">
        <v>298.58</v>
      </c>
    </row>
    <row r="51" spans="1:2" x14ac:dyDescent="0.2">
      <c r="A51">
        <v>2029</v>
      </c>
      <c r="B51">
        <v>314.31</v>
      </c>
    </row>
    <row r="52" spans="1:2" x14ac:dyDescent="0.2">
      <c r="A52">
        <v>2030</v>
      </c>
      <c r="B52">
        <v>331.13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B576-03F0-E148-AFE3-221EDB0C50A7}">
  <sheetPr>
    <tabColor theme="5"/>
  </sheetPr>
  <dimension ref="A1:B52"/>
  <sheetViews>
    <sheetView workbookViewId="0"/>
  </sheetViews>
  <sheetFormatPr baseColWidth="10" defaultColWidth="11.5" defaultRowHeight="15" x14ac:dyDescent="0.2"/>
  <cols>
    <col min="1" max="1" width="50" bestFit="1" customWidth="1"/>
    <col min="2" max="2" width="10" bestFit="1" customWidth="1"/>
  </cols>
  <sheetData>
    <row r="1" spans="1:2" x14ac:dyDescent="0.2">
      <c r="A1" t="s">
        <v>12</v>
      </c>
      <c r="B1" t="s">
        <v>17</v>
      </c>
    </row>
    <row r="2" spans="1:2" x14ac:dyDescent="0.2">
      <c r="A2">
        <v>1980</v>
      </c>
      <c r="B2">
        <v>10.71</v>
      </c>
    </row>
    <row r="3" spans="1:2" x14ac:dyDescent="0.2">
      <c r="A3">
        <v>1981</v>
      </c>
      <c r="B3">
        <v>10.71</v>
      </c>
    </row>
    <row r="4" spans="1:2" x14ac:dyDescent="0.2">
      <c r="A4">
        <v>1982</v>
      </c>
      <c r="B4">
        <v>10.7</v>
      </c>
    </row>
    <row r="5" spans="1:2" x14ac:dyDescent="0.2">
      <c r="A5">
        <v>1983</v>
      </c>
      <c r="B5">
        <v>10.67</v>
      </c>
    </row>
    <row r="6" spans="1:2" x14ac:dyDescent="0.2">
      <c r="A6">
        <v>1984</v>
      </c>
      <c r="B6">
        <v>10.64</v>
      </c>
    </row>
    <row r="7" spans="1:2" x14ac:dyDescent="0.2">
      <c r="A7">
        <v>1985</v>
      </c>
      <c r="B7">
        <v>10.6</v>
      </c>
    </row>
    <row r="8" spans="1:2" x14ac:dyDescent="0.2">
      <c r="A8">
        <v>1986</v>
      </c>
      <c r="B8">
        <v>10.56</v>
      </c>
    </row>
    <row r="9" spans="1:2" x14ac:dyDescent="0.2">
      <c r="A9">
        <v>1987</v>
      </c>
      <c r="B9">
        <v>10.51</v>
      </c>
    </row>
    <row r="10" spans="1:2" x14ac:dyDescent="0.2">
      <c r="A10">
        <v>1988</v>
      </c>
      <c r="B10">
        <v>10.46</v>
      </c>
    </row>
    <row r="11" spans="1:2" x14ac:dyDescent="0.2">
      <c r="A11">
        <v>1989</v>
      </c>
      <c r="B11">
        <v>10.42</v>
      </c>
    </row>
    <row r="12" spans="1:2" x14ac:dyDescent="0.2">
      <c r="A12">
        <v>1990</v>
      </c>
      <c r="B12">
        <v>10.38</v>
      </c>
    </row>
    <row r="13" spans="1:2" x14ac:dyDescent="0.2">
      <c r="A13">
        <v>1991</v>
      </c>
      <c r="B13">
        <v>10.37</v>
      </c>
    </row>
    <row r="14" spans="1:2" x14ac:dyDescent="0.2">
      <c r="A14">
        <v>1992</v>
      </c>
      <c r="B14">
        <v>10.37</v>
      </c>
    </row>
    <row r="15" spans="1:2" x14ac:dyDescent="0.2">
      <c r="A15">
        <v>1993</v>
      </c>
      <c r="B15">
        <v>10.37</v>
      </c>
    </row>
    <row r="16" spans="1:2" x14ac:dyDescent="0.2">
      <c r="A16">
        <v>1994</v>
      </c>
      <c r="B16">
        <v>10.35</v>
      </c>
    </row>
    <row r="17" spans="1:2" x14ac:dyDescent="0.2">
      <c r="A17">
        <v>1995</v>
      </c>
      <c r="B17">
        <v>10.34</v>
      </c>
    </row>
    <row r="18" spans="1:2" x14ac:dyDescent="0.2">
      <c r="A18">
        <v>1996</v>
      </c>
      <c r="B18">
        <v>10.32</v>
      </c>
    </row>
    <row r="19" spans="1:2" x14ac:dyDescent="0.2">
      <c r="A19">
        <v>1997</v>
      </c>
      <c r="B19">
        <v>10.3</v>
      </c>
    </row>
    <row r="20" spans="1:2" x14ac:dyDescent="0.2">
      <c r="A20">
        <v>1998</v>
      </c>
      <c r="B20">
        <v>10.28</v>
      </c>
    </row>
    <row r="21" spans="1:2" x14ac:dyDescent="0.2">
      <c r="A21">
        <v>1999</v>
      </c>
      <c r="B21">
        <v>10.25</v>
      </c>
    </row>
    <row r="22" spans="1:2" x14ac:dyDescent="0.2">
      <c r="A22">
        <v>2000</v>
      </c>
      <c r="B22">
        <v>10.220000000000001</v>
      </c>
    </row>
    <row r="23" spans="1:2" x14ac:dyDescent="0.2">
      <c r="A23">
        <v>2001</v>
      </c>
      <c r="B23">
        <v>10.199999999999999</v>
      </c>
    </row>
    <row r="24" spans="1:2" x14ac:dyDescent="0.2">
      <c r="A24">
        <v>2002</v>
      </c>
      <c r="B24">
        <v>10.18</v>
      </c>
    </row>
    <row r="25" spans="1:2" x14ac:dyDescent="0.2">
      <c r="A25">
        <v>2003</v>
      </c>
      <c r="B25">
        <v>10.14</v>
      </c>
    </row>
    <row r="26" spans="1:2" x14ac:dyDescent="0.2">
      <c r="A26">
        <v>2004</v>
      </c>
      <c r="B26">
        <v>10.119999999999999</v>
      </c>
    </row>
    <row r="27" spans="1:2" x14ac:dyDescent="0.2">
      <c r="A27">
        <v>2005</v>
      </c>
      <c r="B27">
        <v>10.1</v>
      </c>
    </row>
    <row r="28" spans="1:2" x14ac:dyDescent="0.2">
      <c r="A28">
        <v>2006</v>
      </c>
      <c r="B28">
        <v>10.08</v>
      </c>
    </row>
    <row r="29" spans="1:2" x14ac:dyDescent="0.2">
      <c r="A29">
        <v>2007</v>
      </c>
      <c r="B29">
        <v>10.07</v>
      </c>
    </row>
    <row r="30" spans="1:2" x14ac:dyDescent="0.2">
      <c r="A30">
        <v>2008</v>
      </c>
      <c r="B30">
        <v>10.050000000000001</v>
      </c>
    </row>
    <row r="31" spans="1:2" x14ac:dyDescent="0.2">
      <c r="A31">
        <v>2009</v>
      </c>
      <c r="B31">
        <v>10.029999999999999</v>
      </c>
    </row>
    <row r="32" spans="1:2" x14ac:dyDescent="0.2">
      <c r="A32">
        <v>2010</v>
      </c>
      <c r="B32">
        <v>10.01</v>
      </c>
    </row>
    <row r="33" spans="1:2" x14ac:dyDescent="0.2">
      <c r="A33">
        <v>2011</v>
      </c>
      <c r="B33">
        <v>9.99</v>
      </c>
    </row>
    <row r="34" spans="1:2" x14ac:dyDescent="0.2">
      <c r="A34">
        <v>2012</v>
      </c>
      <c r="B34">
        <v>9.93</v>
      </c>
    </row>
    <row r="35" spans="1:2" x14ac:dyDescent="0.2">
      <c r="A35">
        <v>2013</v>
      </c>
      <c r="B35">
        <v>9.9</v>
      </c>
    </row>
    <row r="36" spans="1:2" x14ac:dyDescent="0.2">
      <c r="A36">
        <v>2014</v>
      </c>
      <c r="B36">
        <v>9.85</v>
      </c>
    </row>
    <row r="37" spans="1:2" x14ac:dyDescent="0.2">
      <c r="A37">
        <v>2015</v>
      </c>
      <c r="B37">
        <v>9.82</v>
      </c>
    </row>
    <row r="38" spans="1:2" x14ac:dyDescent="0.2">
      <c r="A38">
        <v>2016</v>
      </c>
      <c r="B38">
        <v>9.7799999999999994</v>
      </c>
    </row>
    <row r="39" spans="1:2" x14ac:dyDescent="0.2">
      <c r="A39">
        <v>2017</v>
      </c>
      <c r="B39">
        <v>9.74</v>
      </c>
    </row>
    <row r="40" spans="1:2" x14ac:dyDescent="0.2">
      <c r="A40">
        <v>2018</v>
      </c>
      <c r="B40">
        <v>9.7100000000000009</v>
      </c>
    </row>
    <row r="41" spans="1:2" x14ac:dyDescent="0.2">
      <c r="A41">
        <v>2019</v>
      </c>
      <c r="B41">
        <v>9.6999999999999993</v>
      </c>
    </row>
    <row r="42" spans="1:2" x14ac:dyDescent="0.2">
      <c r="A42">
        <v>2020</v>
      </c>
      <c r="B42">
        <v>9.69</v>
      </c>
    </row>
    <row r="43" spans="1:2" x14ac:dyDescent="0.2">
      <c r="A43">
        <v>2021</v>
      </c>
      <c r="B43">
        <v>9.65</v>
      </c>
    </row>
    <row r="44" spans="1:2" x14ac:dyDescent="0.2">
      <c r="A44">
        <v>2022</v>
      </c>
      <c r="B44">
        <v>9.61</v>
      </c>
    </row>
    <row r="45" spans="1:2" x14ac:dyDescent="0.2">
      <c r="A45">
        <v>2023</v>
      </c>
      <c r="B45">
        <v>9.6</v>
      </c>
    </row>
    <row r="46" spans="1:2" x14ac:dyDescent="0.2">
      <c r="A46">
        <v>2024</v>
      </c>
      <c r="B46">
        <v>9.59</v>
      </c>
    </row>
    <row r="47" spans="1:2" x14ac:dyDescent="0.2">
      <c r="A47">
        <v>2025</v>
      </c>
      <c r="B47">
        <v>9.56</v>
      </c>
    </row>
    <row r="48" spans="1:2" x14ac:dyDescent="0.2">
      <c r="A48">
        <v>2026</v>
      </c>
      <c r="B48">
        <v>9.5399999999999991</v>
      </c>
    </row>
    <row r="49" spans="1:2" x14ac:dyDescent="0.2">
      <c r="A49">
        <v>2027</v>
      </c>
      <c r="B49">
        <v>9.51</v>
      </c>
    </row>
    <row r="50" spans="1:2" x14ac:dyDescent="0.2">
      <c r="A50">
        <v>2028</v>
      </c>
      <c r="B50">
        <v>9.49</v>
      </c>
    </row>
    <row r="51" spans="1:2" x14ac:dyDescent="0.2">
      <c r="A51">
        <v>2029</v>
      </c>
      <c r="B51">
        <v>9.4700000000000006</v>
      </c>
    </row>
    <row r="52" spans="1:2" x14ac:dyDescent="0.2">
      <c r="A52">
        <v>2030</v>
      </c>
      <c r="B52">
        <v>9.44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6A7B-5060-9443-98FE-A9F7FF124E39}">
  <sheetPr>
    <tabColor theme="5"/>
  </sheetPr>
  <dimension ref="A1:B54"/>
  <sheetViews>
    <sheetView workbookViewId="0"/>
  </sheetViews>
  <sheetFormatPr baseColWidth="10" defaultColWidth="11.5" defaultRowHeight="15" x14ac:dyDescent="0.2"/>
  <cols>
    <col min="1" max="1" width="56.83203125" bestFit="1" customWidth="1"/>
    <col min="2" max="2" width="7.1640625" bestFit="1" customWidth="1"/>
  </cols>
  <sheetData>
    <row r="1" spans="1:2" x14ac:dyDescent="0.2">
      <c r="A1" t="s">
        <v>13</v>
      </c>
      <c r="B1" t="s">
        <v>1</v>
      </c>
    </row>
    <row r="2" spans="1:2" x14ac:dyDescent="0.2">
      <c r="A2">
        <v>1972</v>
      </c>
      <c r="B2">
        <v>2.2400000000000002</v>
      </c>
    </row>
    <row r="3" spans="1:2" x14ac:dyDescent="0.2">
      <c r="A3">
        <v>1973</v>
      </c>
      <c r="B3">
        <v>2.31</v>
      </c>
    </row>
    <row r="4" spans="1:2" x14ac:dyDescent="0.2">
      <c r="A4">
        <v>1974</v>
      </c>
      <c r="B4">
        <v>2.35</v>
      </c>
    </row>
    <row r="5" spans="1:2" x14ac:dyDescent="0.2">
      <c r="A5">
        <v>1975</v>
      </c>
      <c r="B5">
        <v>2.44</v>
      </c>
    </row>
    <row r="6" spans="1:2" x14ac:dyDescent="0.2">
      <c r="A6">
        <v>1976</v>
      </c>
      <c r="B6">
        <v>2.57</v>
      </c>
    </row>
    <row r="7" spans="1:2" x14ac:dyDescent="0.2">
      <c r="A7">
        <v>1977</v>
      </c>
      <c r="B7">
        <v>2.67</v>
      </c>
    </row>
    <row r="8" spans="1:2" x14ac:dyDescent="0.2">
      <c r="A8">
        <v>1978</v>
      </c>
      <c r="B8">
        <v>2.8</v>
      </c>
    </row>
    <row r="9" spans="1:2" x14ac:dyDescent="0.2">
      <c r="A9">
        <v>1979</v>
      </c>
      <c r="B9">
        <v>3.05</v>
      </c>
    </row>
    <row r="10" spans="1:2" x14ac:dyDescent="0.2">
      <c r="A10">
        <v>1980</v>
      </c>
      <c r="B10">
        <v>3.33</v>
      </c>
    </row>
    <row r="11" spans="1:2" x14ac:dyDescent="0.2">
      <c r="A11">
        <v>1981</v>
      </c>
      <c r="B11">
        <v>3.49</v>
      </c>
    </row>
    <row r="12" spans="1:2" x14ac:dyDescent="0.2">
      <c r="A12">
        <v>1982</v>
      </c>
      <c r="B12">
        <v>3.72</v>
      </c>
    </row>
    <row r="13" spans="1:2" x14ac:dyDescent="0.2">
      <c r="A13">
        <v>1983</v>
      </c>
      <c r="B13">
        <v>4</v>
      </c>
    </row>
    <row r="14" spans="1:2" x14ac:dyDescent="0.2">
      <c r="A14">
        <v>1984</v>
      </c>
      <c r="B14">
        <v>4.33</v>
      </c>
    </row>
    <row r="15" spans="1:2" x14ac:dyDescent="0.2">
      <c r="A15">
        <v>1985</v>
      </c>
      <c r="B15">
        <v>4.63</v>
      </c>
    </row>
    <row r="16" spans="1:2" x14ac:dyDescent="0.2">
      <c r="A16">
        <v>1986</v>
      </c>
      <c r="B16">
        <v>4.88</v>
      </c>
    </row>
    <row r="17" spans="1:2" x14ac:dyDescent="0.2">
      <c r="A17">
        <v>1987</v>
      </c>
      <c r="B17">
        <v>5.3</v>
      </c>
    </row>
    <row r="18" spans="1:2" x14ac:dyDescent="0.2">
      <c r="A18">
        <v>1988</v>
      </c>
      <c r="B18">
        <v>6.14</v>
      </c>
    </row>
    <row r="19" spans="1:2" x14ac:dyDescent="0.2">
      <c r="A19">
        <v>1989</v>
      </c>
      <c r="B19">
        <v>7.19</v>
      </c>
    </row>
    <row r="20" spans="1:2" x14ac:dyDescent="0.2">
      <c r="A20">
        <v>1990</v>
      </c>
      <c r="B20">
        <v>9.23</v>
      </c>
    </row>
    <row r="21" spans="1:2" x14ac:dyDescent="0.2">
      <c r="A21">
        <v>1991</v>
      </c>
      <c r="B21">
        <v>12.44</v>
      </c>
    </row>
    <row r="22" spans="1:2" x14ac:dyDescent="0.2">
      <c r="A22">
        <v>1992</v>
      </c>
      <c r="B22">
        <v>15.39</v>
      </c>
    </row>
    <row r="23" spans="1:2" x14ac:dyDescent="0.2">
      <c r="A23">
        <v>1993</v>
      </c>
      <c r="B23">
        <v>18.84</v>
      </c>
    </row>
    <row r="24" spans="1:2" x14ac:dyDescent="0.2">
      <c r="A24">
        <v>1994</v>
      </c>
      <c r="B24">
        <v>22.4</v>
      </c>
    </row>
    <row r="25" spans="1:2" x14ac:dyDescent="0.2">
      <c r="A25">
        <v>1995</v>
      </c>
      <c r="B25">
        <v>28.74</v>
      </c>
    </row>
    <row r="26" spans="1:2" x14ac:dyDescent="0.2">
      <c r="A26">
        <v>1996</v>
      </c>
      <c r="B26">
        <v>35.479999999999997</v>
      </c>
    </row>
    <row r="27" spans="1:2" x14ac:dyDescent="0.2">
      <c r="A27">
        <v>1997</v>
      </c>
      <c r="B27">
        <v>41.98</v>
      </c>
    </row>
    <row r="28" spans="1:2" x14ac:dyDescent="0.2">
      <c r="A28">
        <v>1998</v>
      </c>
      <c r="B28">
        <v>47.92</v>
      </c>
    </row>
    <row r="29" spans="1:2" x14ac:dyDescent="0.2">
      <c r="A29">
        <v>1999</v>
      </c>
      <c r="B29">
        <v>52.71</v>
      </c>
    </row>
    <row r="30" spans="1:2" x14ac:dyDescent="0.2">
      <c r="A30">
        <v>2000</v>
      </c>
      <c r="B30">
        <v>57.88</v>
      </c>
    </row>
    <row r="31" spans="1:2" x14ac:dyDescent="0.2">
      <c r="A31">
        <v>2001</v>
      </c>
      <c r="B31">
        <v>63.15</v>
      </c>
    </row>
    <row r="32" spans="1:2" x14ac:dyDescent="0.2">
      <c r="A32">
        <v>2002</v>
      </c>
      <c r="B32">
        <v>66.48</v>
      </c>
    </row>
    <row r="33" spans="1:2" x14ac:dyDescent="0.2">
      <c r="A33">
        <v>2003</v>
      </c>
      <c r="B33">
        <v>69.58</v>
      </c>
    </row>
    <row r="34" spans="1:2" x14ac:dyDescent="0.2">
      <c r="A34">
        <v>2004</v>
      </c>
      <c r="B34">
        <v>74.27</v>
      </c>
    </row>
    <row r="35" spans="1:2" x14ac:dyDescent="0.2">
      <c r="A35">
        <v>2005</v>
      </c>
      <c r="B35">
        <v>76.92</v>
      </c>
    </row>
    <row r="36" spans="1:2" x14ac:dyDescent="0.2">
      <c r="A36">
        <v>2006</v>
      </c>
      <c r="B36">
        <v>79.94</v>
      </c>
    </row>
    <row r="37" spans="1:2" x14ac:dyDescent="0.2">
      <c r="A37">
        <v>2007</v>
      </c>
      <c r="B37">
        <v>86.3</v>
      </c>
    </row>
    <row r="38" spans="1:2" x14ac:dyDescent="0.2">
      <c r="A38">
        <v>2008</v>
      </c>
      <c r="B38">
        <v>91.51</v>
      </c>
    </row>
    <row r="39" spans="1:2" x14ac:dyDescent="0.2">
      <c r="A39">
        <v>2009</v>
      </c>
      <c r="B39">
        <v>95.37</v>
      </c>
    </row>
    <row r="40" spans="1:2" x14ac:dyDescent="0.2">
      <c r="A40">
        <v>2010</v>
      </c>
      <c r="B40">
        <v>100</v>
      </c>
    </row>
    <row r="41" spans="1:2" x14ac:dyDescent="0.2">
      <c r="A41">
        <v>2011</v>
      </c>
      <c r="B41">
        <v>103.93</v>
      </c>
    </row>
    <row r="42" spans="1:2" x14ac:dyDescent="0.2">
      <c r="A42">
        <v>2012</v>
      </c>
      <c r="B42">
        <v>109.8</v>
      </c>
    </row>
    <row r="43" spans="1:2" x14ac:dyDescent="0.2">
      <c r="A43">
        <v>2013</v>
      </c>
      <c r="B43">
        <v>111.71</v>
      </c>
    </row>
    <row r="44" spans="1:2" x14ac:dyDescent="0.2">
      <c r="A44">
        <v>2014</v>
      </c>
      <c r="B44">
        <v>111.45</v>
      </c>
    </row>
    <row r="45" spans="1:2" x14ac:dyDescent="0.2">
      <c r="A45">
        <v>2015</v>
      </c>
      <c r="B45">
        <v>111.38</v>
      </c>
    </row>
    <row r="46" spans="1:2" x14ac:dyDescent="0.2">
      <c r="A46">
        <v>2016</v>
      </c>
      <c r="B46">
        <v>111.82</v>
      </c>
    </row>
    <row r="47" spans="1:2" x14ac:dyDescent="0.2">
      <c r="A47">
        <v>2017</v>
      </c>
      <c r="B47">
        <v>114.45</v>
      </c>
    </row>
    <row r="48" spans="1:2" x14ac:dyDescent="0.2">
      <c r="A48">
        <v>2018</v>
      </c>
      <c r="B48">
        <v>117.71</v>
      </c>
    </row>
    <row r="49" spans="1:2" x14ac:dyDescent="0.2">
      <c r="A49">
        <v>2019</v>
      </c>
      <c r="B49">
        <v>121.64</v>
      </c>
    </row>
    <row r="50" spans="1:2" x14ac:dyDescent="0.2">
      <c r="A50">
        <v>2020</v>
      </c>
      <c r="B50">
        <v>125.69</v>
      </c>
    </row>
    <row r="51" spans="1:2" x14ac:dyDescent="0.2">
      <c r="A51">
        <v>2021</v>
      </c>
      <c r="B51">
        <v>132.11000000000001</v>
      </c>
    </row>
    <row r="52" spans="1:2" x14ac:dyDescent="0.2">
      <c r="A52">
        <v>2022</v>
      </c>
      <c r="B52">
        <v>151.41</v>
      </c>
    </row>
    <row r="53" spans="1:2" x14ac:dyDescent="0.2">
      <c r="A53">
        <v>2023</v>
      </c>
      <c r="B53">
        <v>177.34</v>
      </c>
    </row>
    <row r="54" spans="1:2" x14ac:dyDescent="0.2">
      <c r="A54">
        <v>2024</v>
      </c>
      <c r="B54">
        <v>183.91</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1D628-BF96-6A4E-AAA5-E568C6F76EC7}">
  <sheetPr>
    <tabColor theme="5"/>
  </sheetPr>
  <dimension ref="A1:B52"/>
  <sheetViews>
    <sheetView workbookViewId="0"/>
  </sheetViews>
  <sheetFormatPr baseColWidth="10" defaultColWidth="11.5" defaultRowHeight="15" x14ac:dyDescent="0.2"/>
  <cols>
    <col min="1" max="1" width="44.33203125" bestFit="1" customWidth="1"/>
    <col min="2" max="2" width="7.1640625" bestFit="1" customWidth="1"/>
  </cols>
  <sheetData>
    <row r="1" spans="1:2" x14ac:dyDescent="0.2">
      <c r="A1" t="s">
        <v>15</v>
      </c>
      <c r="B1" t="s">
        <v>1</v>
      </c>
    </row>
    <row r="2" spans="1:2" x14ac:dyDescent="0.2">
      <c r="A2">
        <v>1980</v>
      </c>
      <c r="B2">
        <v>9.2899999999999991</v>
      </c>
    </row>
    <row r="3" spans="1:2" x14ac:dyDescent="0.2">
      <c r="A3">
        <v>1981</v>
      </c>
      <c r="B3">
        <v>4.51</v>
      </c>
    </row>
    <row r="4" spans="1:2" x14ac:dyDescent="0.2">
      <c r="A4">
        <v>1982</v>
      </c>
      <c r="B4">
        <v>7.02</v>
      </c>
    </row>
    <row r="5" spans="1:2" x14ac:dyDescent="0.2">
      <c r="A5">
        <v>1983</v>
      </c>
      <c r="B5">
        <v>6.4</v>
      </c>
    </row>
    <row r="6" spans="1:2" x14ac:dyDescent="0.2">
      <c r="A6">
        <v>1984</v>
      </c>
      <c r="B6">
        <v>8.65</v>
      </c>
    </row>
    <row r="7" spans="1:2" x14ac:dyDescent="0.2">
      <c r="A7">
        <v>1985</v>
      </c>
      <c r="B7">
        <v>7.01</v>
      </c>
    </row>
    <row r="8" spans="1:2" x14ac:dyDescent="0.2">
      <c r="A8">
        <v>1986</v>
      </c>
      <c r="B8">
        <v>5.29</v>
      </c>
    </row>
    <row r="9" spans="1:2" x14ac:dyDescent="0.2">
      <c r="A9">
        <v>1987</v>
      </c>
      <c r="B9">
        <v>8.68</v>
      </c>
    </row>
    <row r="10" spans="1:2" x14ac:dyDescent="0.2">
      <c r="A10">
        <v>1988</v>
      </c>
      <c r="B10">
        <v>15.79</v>
      </c>
    </row>
    <row r="11" spans="1:2" x14ac:dyDescent="0.2">
      <c r="A11">
        <v>1989</v>
      </c>
      <c r="B11">
        <v>16.95</v>
      </c>
    </row>
    <row r="12" spans="1:2" x14ac:dyDescent="0.2">
      <c r="A12">
        <v>1990</v>
      </c>
      <c r="B12">
        <v>28.97</v>
      </c>
    </row>
    <row r="13" spans="1:2" x14ac:dyDescent="0.2">
      <c r="A13">
        <v>1991</v>
      </c>
      <c r="B13">
        <v>34.229999999999997</v>
      </c>
    </row>
    <row r="14" spans="1:2" x14ac:dyDescent="0.2">
      <c r="A14">
        <v>1992</v>
      </c>
      <c r="B14">
        <v>22.95</v>
      </c>
    </row>
    <row r="15" spans="1:2" x14ac:dyDescent="0.2">
      <c r="A15">
        <v>1993</v>
      </c>
      <c r="B15">
        <v>22.45</v>
      </c>
    </row>
    <row r="16" spans="1:2" x14ac:dyDescent="0.2">
      <c r="A16">
        <v>1994</v>
      </c>
      <c r="B16">
        <v>18.87</v>
      </c>
    </row>
    <row r="17" spans="1:2" x14ac:dyDescent="0.2">
      <c r="A17">
        <v>1995</v>
      </c>
      <c r="B17">
        <v>28.3</v>
      </c>
    </row>
    <row r="18" spans="1:2" x14ac:dyDescent="0.2">
      <c r="A18">
        <v>1996</v>
      </c>
      <c r="B18">
        <v>23.46</v>
      </c>
    </row>
    <row r="19" spans="1:2" x14ac:dyDescent="0.2">
      <c r="A19">
        <v>1997</v>
      </c>
      <c r="B19">
        <v>18.3</v>
      </c>
    </row>
    <row r="20" spans="1:2" x14ac:dyDescent="0.2">
      <c r="A20">
        <v>1998</v>
      </c>
      <c r="B20">
        <v>14.23</v>
      </c>
    </row>
    <row r="21" spans="1:2" x14ac:dyDescent="0.2">
      <c r="A21">
        <v>1999</v>
      </c>
      <c r="B21">
        <v>9.9700000000000006</v>
      </c>
    </row>
    <row r="22" spans="1:2" x14ac:dyDescent="0.2">
      <c r="A22">
        <v>2000</v>
      </c>
      <c r="B22">
        <v>9.7899999999999991</v>
      </c>
    </row>
    <row r="23" spans="1:2" x14ac:dyDescent="0.2">
      <c r="A23">
        <v>2001</v>
      </c>
      <c r="B23">
        <v>9.15</v>
      </c>
    </row>
    <row r="24" spans="1:2" x14ac:dyDescent="0.2">
      <c r="A24">
        <v>2002</v>
      </c>
      <c r="B24">
        <v>5.26</v>
      </c>
    </row>
    <row r="25" spans="1:2" x14ac:dyDescent="0.2">
      <c r="A25">
        <v>2003</v>
      </c>
      <c r="B25">
        <v>4.67</v>
      </c>
    </row>
    <row r="26" spans="1:2" x14ac:dyDescent="0.2">
      <c r="A26">
        <v>2004</v>
      </c>
      <c r="B26">
        <v>6.75</v>
      </c>
    </row>
    <row r="27" spans="1:2" x14ac:dyDescent="0.2">
      <c r="A27">
        <v>2005</v>
      </c>
      <c r="B27">
        <v>3.56</v>
      </c>
    </row>
    <row r="28" spans="1:2" x14ac:dyDescent="0.2">
      <c r="A28">
        <v>2006</v>
      </c>
      <c r="B28">
        <v>3.9</v>
      </c>
    </row>
    <row r="29" spans="1:2" x14ac:dyDescent="0.2">
      <c r="A29">
        <v>2007</v>
      </c>
      <c r="B29">
        <v>7.95</v>
      </c>
    </row>
    <row r="30" spans="1:2" x14ac:dyDescent="0.2">
      <c r="A30">
        <v>2008</v>
      </c>
      <c r="B30">
        <v>6.06</v>
      </c>
    </row>
    <row r="31" spans="1:2" x14ac:dyDescent="0.2">
      <c r="A31">
        <v>2009</v>
      </c>
      <c r="B31">
        <v>4.2</v>
      </c>
    </row>
    <row r="32" spans="1:2" x14ac:dyDescent="0.2">
      <c r="A32">
        <v>2010</v>
      </c>
      <c r="B32">
        <v>4.87</v>
      </c>
    </row>
    <row r="33" spans="1:2" x14ac:dyDescent="0.2">
      <c r="A33">
        <v>2011</v>
      </c>
      <c r="B33">
        <v>3.93</v>
      </c>
    </row>
    <row r="34" spans="1:2" x14ac:dyDescent="0.2">
      <c r="A34">
        <v>2012</v>
      </c>
      <c r="B34">
        <v>5.66</v>
      </c>
    </row>
    <row r="35" spans="1:2" x14ac:dyDescent="0.2">
      <c r="A35">
        <v>2013</v>
      </c>
      <c r="B35">
        <v>1.71</v>
      </c>
    </row>
    <row r="36" spans="1:2" x14ac:dyDescent="0.2">
      <c r="A36">
        <v>2014</v>
      </c>
      <c r="B36">
        <v>-0.23</v>
      </c>
    </row>
    <row r="37" spans="1:2" x14ac:dyDescent="0.2">
      <c r="A37">
        <v>2015</v>
      </c>
      <c r="B37">
        <v>-7.0000000000000007E-2</v>
      </c>
    </row>
    <row r="38" spans="1:2" x14ac:dyDescent="0.2">
      <c r="A38">
        <v>2016</v>
      </c>
      <c r="B38">
        <v>0.4</v>
      </c>
    </row>
    <row r="39" spans="1:2" x14ac:dyDescent="0.2">
      <c r="A39">
        <v>2017</v>
      </c>
      <c r="B39">
        <v>2.35</v>
      </c>
    </row>
    <row r="40" spans="1:2" x14ac:dyDescent="0.2">
      <c r="A40">
        <v>2018</v>
      </c>
      <c r="B40">
        <v>2.84</v>
      </c>
    </row>
    <row r="41" spans="1:2" x14ac:dyDescent="0.2">
      <c r="A41">
        <v>2019</v>
      </c>
      <c r="B41">
        <v>3.37</v>
      </c>
    </row>
    <row r="42" spans="1:2" x14ac:dyDescent="0.2">
      <c r="A42">
        <v>2020</v>
      </c>
      <c r="B42">
        <v>3.31</v>
      </c>
    </row>
    <row r="43" spans="1:2" x14ac:dyDescent="0.2">
      <c r="A43">
        <v>2021</v>
      </c>
      <c r="B43">
        <v>5.1100000000000003</v>
      </c>
    </row>
    <row r="44" spans="1:2" x14ac:dyDescent="0.2">
      <c r="A44">
        <v>2022</v>
      </c>
      <c r="B44">
        <v>14.62</v>
      </c>
    </row>
    <row r="45" spans="1:2" x14ac:dyDescent="0.2">
      <c r="A45">
        <v>2023</v>
      </c>
      <c r="B45">
        <v>17.14</v>
      </c>
    </row>
    <row r="46" spans="1:2" x14ac:dyDescent="0.2">
      <c r="A46">
        <v>2024</v>
      </c>
      <c r="B46">
        <v>3.71</v>
      </c>
    </row>
    <row r="47" spans="1:2" x14ac:dyDescent="0.2">
      <c r="A47">
        <v>2025</v>
      </c>
      <c r="B47">
        <v>4.46</v>
      </c>
    </row>
    <row r="48" spans="1:2" x14ac:dyDescent="0.2">
      <c r="A48">
        <v>2026</v>
      </c>
      <c r="B48">
        <v>3.47</v>
      </c>
    </row>
    <row r="49" spans="1:2" x14ac:dyDescent="0.2">
      <c r="A49">
        <v>2027</v>
      </c>
      <c r="B49">
        <v>3.03</v>
      </c>
    </row>
    <row r="50" spans="1:2" x14ac:dyDescent="0.2">
      <c r="A50">
        <v>2028</v>
      </c>
      <c r="B50">
        <v>3</v>
      </c>
    </row>
    <row r="51" spans="1:2" x14ac:dyDescent="0.2">
      <c r="A51">
        <v>2029</v>
      </c>
      <c r="B51">
        <v>3</v>
      </c>
    </row>
    <row r="52" spans="1:2" x14ac:dyDescent="0.2">
      <c r="A52">
        <v>2030</v>
      </c>
      <c r="B52">
        <v>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2FA51-76A0-534E-8102-AC176E42FCBA}">
  <sheetPr>
    <tabColor theme="5"/>
  </sheetPr>
  <dimension ref="A1:B35"/>
  <sheetViews>
    <sheetView workbookViewId="0"/>
  </sheetViews>
  <sheetFormatPr baseColWidth="10" defaultColWidth="11.5" defaultRowHeight="15" x14ac:dyDescent="0.2"/>
  <cols>
    <col min="1" max="1" width="7.1640625" bestFit="1" customWidth="1"/>
    <col min="2" max="2" width="20.6640625" bestFit="1" customWidth="1"/>
  </cols>
  <sheetData>
    <row r="1" spans="1:2" x14ac:dyDescent="0.2">
      <c r="A1" t="s">
        <v>4</v>
      </c>
      <c r="B1" t="s">
        <v>5</v>
      </c>
    </row>
    <row r="2" spans="1:2" x14ac:dyDescent="0.2">
      <c r="A2">
        <v>1991</v>
      </c>
      <c r="B2">
        <v>8.5</v>
      </c>
    </row>
    <row r="3" spans="1:2" x14ac:dyDescent="0.2">
      <c r="A3">
        <v>1992</v>
      </c>
      <c r="B3">
        <v>9.9420000000000002</v>
      </c>
    </row>
    <row r="4" spans="1:2" x14ac:dyDescent="0.2">
      <c r="A4">
        <v>1993</v>
      </c>
      <c r="B4">
        <v>12.098000000000001</v>
      </c>
    </row>
    <row r="5" spans="1:2" x14ac:dyDescent="0.2">
      <c r="A5">
        <v>1994</v>
      </c>
      <c r="B5">
        <v>10.847</v>
      </c>
    </row>
    <row r="6" spans="1:2" x14ac:dyDescent="0.2">
      <c r="A6">
        <v>1995</v>
      </c>
      <c r="B6">
        <v>10.167999999999999</v>
      </c>
    </row>
    <row r="7" spans="1:2" x14ac:dyDescent="0.2">
      <c r="A7">
        <v>1996</v>
      </c>
      <c r="B7">
        <v>10.022</v>
      </c>
    </row>
    <row r="8" spans="1:2" x14ac:dyDescent="0.2">
      <c r="A8">
        <v>1997</v>
      </c>
      <c r="B8">
        <v>8.9909999999999997</v>
      </c>
    </row>
    <row r="9" spans="1:2" x14ac:dyDescent="0.2">
      <c r="A9">
        <v>1998</v>
      </c>
      <c r="B9">
        <v>8.9250000000000007</v>
      </c>
    </row>
    <row r="10" spans="1:2" x14ac:dyDescent="0.2">
      <c r="A10">
        <v>1999</v>
      </c>
      <c r="B10">
        <v>6.9290000000000003</v>
      </c>
    </row>
    <row r="11" spans="1:2" x14ac:dyDescent="0.2">
      <c r="A11">
        <v>2000</v>
      </c>
      <c r="B11">
        <v>6.5629999999999997</v>
      </c>
    </row>
    <row r="12" spans="1:2" x14ac:dyDescent="0.2">
      <c r="A12">
        <v>2001</v>
      </c>
      <c r="B12">
        <v>5.6710000000000003</v>
      </c>
    </row>
    <row r="13" spans="1:2" x14ac:dyDescent="0.2">
      <c r="A13">
        <v>2002</v>
      </c>
      <c r="B13">
        <v>5.6079999999999997</v>
      </c>
    </row>
    <row r="14" spans="1:2" x14ac:dyDescent="0.2">
      <c r="A14">
        <v>2003</v>
      </c>
      <c r="B14">
        <v>5.79</v>
      </c>
    </row>
    <row r="15" spans="1:2" x14ac:dyDescent="0.2">
      <c r="A15">
        <v>2004</v>
      </c>
      <c r="B15">
        <v>5.8319999999999999</v>
      </c>
    </row>
    <row r="16" spans="1:2" x14ac:dyDescent="0.2">
      <c r="A16">
        <v>2005</v>
      </c>
      <c r="B16">
        <v>7.1890000000000001</v>
      </c>
    </row>
    <row r="17" spans="1:2" x14ac:dyDescent="0.2">
      <c r="A17">
        <v>2006</v>
      </c>
      <c r="B17">
        <v>7.4939999999999998</v>
      </c>
    </row>
    <row r="18" spans="1:2" x14ac:dyDescent="0.2">
      <c r="A18">
        <v>2007</v>
      </c>
      <c r="B18">
        <v>7.4059999999999997</v>
      </c>
    </row>
    <row r="19" spans="1:2" x14ac:dyDescent="0.2">
      <c r="A19">
        <v>2008</v>
      </c>
      <c r="B19">
        <v>7.8170000000000002</v>
      </c>
    </row>
    <row r="20" spans="1:2" x14ac:dyDescent="0.2">
      <c r="A20">
        <v>2009</v>
      </c>
      <c r="B20">
        <v>10.029999999999999</v>
      </c>
    </row>
    <row r="21" spans="1:2" x14ac:dyDescent="0.2">
      <c r="A21">
        <v>2010</v>
      </c>
      <c r="B21">
        <v>11.172000000000001</v>
      </c>
    </row>
    <row r="22" spans="1:2" x14ac:dyDescent="0.2">
      <c r="A22">
        <v>2011</v>
      </c>
      <c r="B22">
        <v>11.029</v>
      </c>
    </row>
    <row r="23" spans="1:2" x14ac:dyDescent="0.2">
      <c r="A23">
        <v>2012</v>
      </c>
      <c r="B23">
        <v>11.003</v>
      </c>
    </row>
    <row r="24" spans="1:2" x14ac:dyDescent="0.2">
      <c r="A24">
        <v>2013</v>
      </c>
      <c r="B24">
        <v>10.177</v>
      </c>
    </row>
    <row r="25" spans="1:2" x14ac:dyDescent="0.2">
      <c r="A25">
        <v>2014</v>
      </c>
      <c r="B25">
        <v>7.7249999999999996</v>
      </c>
    </row>
    <row r="26" spans="1:2" x14ac:dyDescent="0.2">
      <c r="A26">
        <v>2015</v>
      </c>
      <c r="B26">
        <v>6.8129999999999997</v>
      </c>
    </row>
    <row r="27" spans="1:2" x14ac:dyDescent="0.2">
      <c r="A27">
        <v>2016</v>
      </c>
      <c r="B27">
        <v>5.1150000000000002</v>
      </c>
    </row>
    <row r="28" spans="1:2" x14ac:dyDescent="0.2">
      <c r="A28">
        <v>2017</v>
      </c>
      <c r="B28">
        <v>4.1559999999999997</v>
      </c>
    </row>
    <row r="29" spans="1:2" x14ac:dyDescent="0.2">
      <c r="A29">
        <v>2018</v>
      </c>
      <c r="B29">
        <v>3.7080000000000002</v>
      </c>
    </row>
    <row r="30" spans="1:2" x14ac:dyDescent="0.2">
      <c r="A30">
        <v>2019</v>
      </c>
      <c r="B30">
        <v>3.419</v>
      </c>
    </row>
    <row r="31" spans="1:2" x14ac:dyDescent="0.2">
      <c r="A31">
        <v>2020</v>
      </c>
      <c r="B31">
        <v>4.25</v>
      </c>
    </row>
    <row r="32" spans="1:2" x14ac:dyDescent="0.2">
      <c r="A32">
        <v>2021</v>
      </c>
      <c r="B32">
        <v>4.0449999999999999</v>
      </c>
    </row>
    <row r="33" spans="1:2" x14ac:dyDescent="0.2">
      <c r="A33">
        <v>2022</v>
      </c>
      <c r="B33">
        <v>3.609</v>
      </c>
    </row>
    <row r="34" spans="1:2" x14ac:dyDescent="0.2">
      <c r="A34">
        <v>2023</v>
      </c>
      <c r="B34">
        <v>4.1070000000000002</v>
      </c>
    </row>
    <row r="35" spans="1:2" x14ac:dyDescent="0.2">
      <c r="A35">
        <v>2024</v>
      </c>
      <c r="B35">
        <v>4.4340000000000002</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9D8E-5F30-144F-845A-898AFD76A16F}">
  <sheetPr>
    <tabColor theme="5"/>
  </sheetPr>
  <dimension ref="A1:B65"/>
  <sheetViews>
    <sheetView workbookViewId="0"/>
  </sheetViews>
  <sheetFormatPr baseColWidth="10" defaultColWidth="11.5" defaultRowHeight="15" x14ac:dyDescent="0.2"/>
  <cols>
    <col min="1" max="1" width="7.5" bestFit="1" customWidth="1"/>
    <col min="2" max="2" width="13.1640625" bestFit="1" customWidth="1"/>
  </cols>
  <sheetData>
    <row r="1" spans="1:2" x14ac:dyDescent="0.2">
      <c r="A1" t="s">
        <v>2</v>
      </c>
      <c r="B1" t="s">
        <v>3</v>
      </c>
    </row>
    <row r="2" spans="1:2" x14ac:dyDescent="0.2">
      <c r="A2">
        <v>1961</v>
      </c>
      <c r="B2">
        <v>4.7000000000002196</v>
      </c>
    </row>
    <row r="3" spans="1:2" x14ac:dyDescent="0.2">
      <c r="A3">
        <v>1962</v>
      </c>
      <c r="B3">
        <v>6.0999999999998202</v>
      </c>
    </row>
    <row r="4" spans="1:2" x14ac:dyDescent="0.2">
      <c r="A4">
        <v>1963</v>
      </c>
      <c r="B4">
        <v>5.6999999999999904</v>
      </c>
    </row>
    <row r="5" spans="1:2" x14ac:dyDescent="0.2">
      <c r="A5">
        <v>1964</v>
      </c>
      <c r="B5">
        <v>4.7000000000002196</v>
      </c>
    </row>
    <row r="6" spans="1:2" x14ac:dyDescent="0.2">
      <c r="A6">
        <v>1965</v>
      </c>
      <c r="B6">
        <v>42.410414267179902</v>
      </c>
    </row>
    <row r="7" spans="1:2" x14ac:dyDescent="0.2">
      <c r="A7">
        <v>1966</v>
      </c>
      <c r="B7">
        <v>7.3999999999999604</v>
      </c>
    </row>
    <row r="8" spans="1:2" x14ac:dyDescent="0.2">
      <c r="A8">
        <v>1967</v>
      </c>
      <c r="B8">
        <v>7.49999999999996</v>
      </c>
    </row>
    <row r="9" spans="1:2" x14ac:dyDescent="0.2">
      <c r="A9">
        <v>1968</v>
      </c>
      <c r="B9">
        <v>4.9000000000003796</v>
      </c>
    </row>
    <row r="10" spans="1:2" x14ac:dyDescent="0.2">
      <c r="A10">
        <v>1969</v>
      </c>
      <c r="B10">
        <v>6.8999999999998201</v>
      </c>
    </row>
    <row r="11" spans="1:2" x14ac:dyDescent="0.2">
      <c r="A11">
        <v>1970</v>
      </c>
      <c r="B11">
        <v>4.7000000000003297</v>
      </c>
    </row>
    <row r="12" spans="1:2" x14ac:dyDescent="0.2">
      <c r="A12">
        <v>1971</v>
      </c>
      <c r="B12">
        <v>6.1999999999996502</v>
      </c>
    </row>
    <row r="13" spans="1:2" x14ac:dyDescent="0.2">
      <c r="A13">
        <v>1972</v>
      </c>
      <c r="B13">
        <v>6.0999999999994801</v>
      </c>
    </row>
    <row r="14" spans="1:2" x14ac:dyDescent="0.2">
      <c r="A14">
        <v>1973</v>
      </c>
      <c r="B14">
        <v>6.9000000000003796</v>
      </c>
    </row>
    <row r="15" spans="1:2" x14ac:dyDescent="0.2">
      <c r="A15">
        <v>1974</v>
      </c>
      <c r="B15">
        <v>5.8999999999997499</v>
      </c>
    </row>
    <row r="16" spans="1:2" x14ac:dyDescent="0.2">
      <c r="A16">
        <v>1975</v>
      </c>
      <c r="B16">
        <v>6.2000000000000703</v>
      </c>
    </row>
    <row r="17" spans="1:2" x14ac:dyDescent="0.2">
      <c r="A17">
        <v>1976</v>
      </c>
      <c r="B17">
        <v>3.6000000000005601</v>
      </c>
    </row>
    <row r="18" spans="1:2" x14ac:dyDescent="0.2">
      <c r="A18">
        <v>1977</v>
      </c>
      <c r="B18">
        <v>7.5999999999996497</v>
      </c>
    </row>
    <row r="19" spans="1:2" x14ac:dyDescent="0.2">
      <c r="A19">
        <v>1978</v>
      </c>
      <c r="B19">
        <v>4.3999999999999799</v>
      </c>
    </row>
    <row r="20" spans="1:2" x14ac:dyDescent="0.2">
      <c r="A20">
        <v>1979</v>
      </c>
      <c r="B20">
        <v>2.6999999999998301</v>
      </c>
    </row>
    <row r="21" spans="1:2" x14ac:dyDescent="0.2">
      <c r="A21">
        <v>1980</v>
      </c>
      <c r="B21">
        <v>0.200000000000884</v>
      </c>
    </row>
    <row r="22" spans="1:2" x14ac:dyDescent="0.2">
      <c r="A22">
        <v>1981</v>
      </c>
      <c r="B22">
        <v>2.8667449595618302</v>
      </c>
    </row>
    <row r="23" spans="1:2" x14ac:dyDescent="0.2">
      <c r="A23">
        <v>1982</v>
      </c>
      <c r="B23">
        <v>2.8410885424489298</v>
      </c>
    </row>
    <row r="24" spans="1:2" x14ac:dyDescent="0.2">
      <c r="A24">
        <v>1983</v>
      </c>
      <c r="B24">
        <v>0.72296587183100802</v>
      </c>
    </row>
    <row r="25" spans="1:2" x14ac:dyDescent="0.2">
      <c r="A25">
        <v>1984</v>
      </c>
      <c r="B25">
        <v>2.6580476826593902</v>
      </c>
    </row>
    <row r="26" spans="1:2" x14ac:dyDescent="0.2">
      <c r="A26">
        <v>1985</v>
      </c>
      <c r="B26">
        <v>-0.25306748466249501</v>
      </c>
    </row>
    <row r="27" spans="1:2" x14ac:dyDescent="0.2">
      <c r="A27">
        <v>1986</v>
      </c>
      <c r="B27">
        <v>1.53494882486977</v>
      </c>
    </row>
    <row r="28" spans="1:2" x14ac:dyDescent="0.2">
      <c r="A28">
        <v>1987</v>
      </c>
      <c r="B28">
        <v>4.0512295993237801</v>
      </c>
    </row>
    <row r="29" spans="1:2" x14ac:dyDescent="0.2">
      <c r="A29">
        <v>1988</v>
      </c>
      <c r="B29">
        <v>-6.5263143303553803E-2</v>
      </c>
    </row>
    <row r="30" spans="1:2" x14ac:dyDescent="0.2">
      <c r="A30">
        <v>1989</v>
      </c>
      <c r="B30">
        <v>0.73642482148690602</v>
      </c>
    </row>
    <row r="31" spans="1:2" x14ac:dyDescent="0.2">
      <c r="A31">
        <v>1990</v>
      </c>
      <c r="B31">
        <v>-3.4966597618174098</v>
      </c>
    </row>
    <row r="32" spans="1:2" x14ac:dyDescent="0.2">
      <c r="A32">
        <v>1991</v>
      </c>
      <c r="B32">
        <v>-11.892040861843499</v>
      </c>
    </row>
    <row r="33" spans="1:2" x14ac:dyDescent="0.2">
      <c r="A33">
        <v>1992</v>
      </c>
      <c r="B33">
        <v>-3.0641803455863799</v>
      </c>
    </row>
    <row r="34" spans="1:2" x14ac:dyDescent="0.2">
      <c r="A34">
        <v>1993</v>
      </c>
      <c r="B34">
        <v>-0.57610851842561295</v>
      </c>
    </row>
    <row r="35" spans="1:2" x14ac:dyDescent="0.2">
      <c r="A35">
        <v>1994</v>
      </c>
      <c r="B35">
        <v>2.9471545554106799</v>
      </c>
    </row>
    <row r="36" spans="1:2" x14ac:dyDescent="0.2">
      <c r="A36">
        <v>1995</v>
      </c>
      <c r="B36">
        <v>1.4895254759304599</v>
      </c>
    </row>
    <row r="37" spans="1:2" x14ac:dyDescent="0.2">
      <c r="A37">
        <v>1996</v>
      </c>
      <c r="B37">
        <v>0.101234227633242</v>
      </c>
    </row>
    <row r="38" spans="1:2" x14ac:dyDescent="0.2">
      <c r="A38">
        <v>1997</v>
      </c>
      <c r="B38">
        <v>2.9778790654310399</v>
      </c>
    </row>
    <row r="39" spans="1:2" x14ac:dyDescent="0.2">
      <c r="A39">
        <v>1998</v>
      </c>
      <c r="B39">
        <v>3.84810814449837</v>
      </c>
    </row>
    <row r="40" spans="1:2" x14ac:dyDescent="0.2">
      <c r="A40">
        <v>1999</v>
      </c>
      <c r="B40">
        <v>3.08605811588221</v>
      </c>
    </row>
    <row r="41" spans="1:2" x14ac:dyDescent="0.2">
      <c r="A41">
        <v>2000</v>
      </c>
      <c r="B41">
        <v>4.4093750180640301</v>
      </c>
    </row>
    <row r="42" spans="1:2" x14ac:dyDescent="0.2">
      <c r="A42">
        <v>2001</v>
      </c>
      <c r="B42">
        <v>4.0620261722602597</v>
      </c>
    </row>
    <row r="43" spans="1:2" x14ac:dyDescent="0.2">
      <c r="A43">
        <v>2002</v>
      </c>
      <c r="B43">
        <v>4.7300653080555302</v>
      </c>
    </row>
    <row r="44" spans="1:2" x14ac:dyDescent="0.2">
      <c r="A44">
        <v>2003</v>
      </c>
      <c r="B44">
        <v>3.9387776124272702</v>
      </c>
    </row>
    <row r="45" spans="1:2" x14ac:dyDescent="0.2">
      <c r="A45">
        <v>2004</v>
      </c>
      <c r="B45">
        <v>4.9631253615630699</v>
      </c>
    </row>
    <row r="46" spans="1:2" x14ac:dyDescent="0.2">
      <c r="A46">
        <v>2005</v>
      </c>
      <c r="B46">
        <v>4.3002831846167302</v>
      </c>
    </row>
    <row r="47" spans="1:2" x14ac:dyDescent="0.2">
      <c r="A47">
        <v>2006</v>
      </c>
      <c r="B47">
        <v>3.9339316271205398</v>
      </c>
    </row>
    <row r="48" spans="1:2" x14ac:dyDescent="0.2">
      <c r="A48">
        <v>2007</v>
      </c>
      <c r="B48">
        <v>0.33235433787892499</v>
      </c>
    </row>
    <row r="49" spans="1:2" x14ac:dyDescent="0.2">
      <c r="A49">
        <v>2008</v>
      </c>
      <c r="B49">
        <v>0.99343708547965504</v>
      </c>
    </row>
    <row r="50" spans="1:2" x14ac:dyDescent="0.2">
      <c r="A50">
        <v>2009</v>
      </c>
      <c r="B50">
        <v>-6.7401660845502001</v>
      </c>
    </row>
    <row r="51" spans="1:2" x14ac:dyDescent="0.2">
      <c r="A51">
        <v>2010</v>
      </c>
      <c r="B51">
        <v>1.06795068152046</v>
      </c>
    </row>
    <row r="52" spans="1:2" x14ac:dyDescent="0.2">
      <c r="A52">
        <v>2011</v>
      </c>
      <c r="B52">
        <v>1.91670916599742</v>
      </c>
    </row>
    <row r="53" spans="1:2" x14ac:dyDescent="0.2">
      <c r="A53">
        <v>2012</v>
      </c>
      <c r="B53">
        <v>-1.3394844651818101</v>
      </c>
    </row>
    <row r="54" spans="1:2" x14ac:dyDescent="0.2">
      <c r="A54">
        <v>2013</v>
      </c>
      <c r="B54">
        <v>2.0321699067814598</v>
      </c>
    </row>
    <row r="55" spans="1:2" x14ac:dyDescent="0.2">
      <c r="A55">
        <v>2014</v>
      </c>
      <c r="B55">
        <v>4.3343536411396704</v>
      </c>
    </row>
    <row r="56" spans="1:2" x14ac:dyDescent="0.2">
      <c r="A56">
        <v>2015</v>
      </c>
      <c r="B56">
        <v>3.6598161540695502</v>
      </c>
    </row>
    <row r="57" spans="1:2" x14ac:dyDescent="0.2">
      <c r="A57">
        <v>2016</v>
      </c>
      <c r="B57">
        <v>2.43864141309342</v>
      </c>
    </row>
    <row r="58" spans="1:2" x14ac:dyDescent="0.2">
      <c r="A58">
        <v>2017</v>
      </c>
      <c r="B58">
        <v>4.1241838945180502</v>
      </c>
    </row>
    <row r="59" spans="1:2" x14ac:dyDescent="0.2">
      <c r="A59">
        <v>2018</v>
      </c>
      <c r="B59">
        <v>5.6061381376887596</v>
      </c>
    </row>
    <row r="60" spans="1:2" x14ac:dyDescent="0.2">
      <c r="A60">
        <v>2019</v>
      </c>
      <c r="B60">
        <v>5.0771849508893299</v>
      </c>
    </row>
    <row r="61" spans="1:2" x14ac:dyDescent="0.2">
      <c r="A61">
        <v>2020</v>
      </c>
      <c r="B61">
        <v>-4.3387254002405804</v>
      </c>
    </row>
    <row r="62" spans="1:2" x14ac:dyDescent="0.2">
      <c r="A62">
        <v>2021</v>
      </c>
      <c r="B62">
        <v>7.2229158081113702</v>
      </c>
    </row>
    <row r="63" spans="1:2" x14ac:dyDescent="0.2">
      <c r="A63">
        <v>2022</v>
      </c>
      <c r="B63">
        <v>4.2703475516290403</v>
      </c>
    </row>
    <row r="64" spans="1:2" x14ac:dyDescent="0.2">
      <c r="A64">
        <v>2023</v>
      </c>
      <c r="B64">
        <v>-0.84252884063909095</v>
      </c>
    </row>
    <row r="65" spans="1:2" x14ac:dyDescent="0.2">
      <c r="A65">
        <v>2024</v>
      </c>
      <c r="B65">
        <v>0.51230579065713799</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A324F-13B4-7A4D-8116-5D09FDECD9C5}">
  <sheetPr>
    <tabColor theme="5"/>
  </sheetPr>
  <dimension ref="A1:B52"/>
  <sheetViews>
    <sheetView workbookViewId="0"/>
  </sheetViews>
  <sheetFormatPr baseColWidth="10" defaultColWidth="11.5" defaultRowHeight="15" x14ac:dyDescent="0.2"/>
  <cols>
    <col min="1" max="1" width="80.6640625" bestFit="1" customWidth="1"/>
    <col min="2" max="2" width="15" bestFit="1" customWidth="1"/>
  </cols>
  <sheetData>
    <row r="1" spans="1:2" x14ac:dyDescent="0.2">
      <c r="A1" t="s">
        <v>14</v>
      </c>
      <c r="B1" t="s">
        <v>16</v>
      </c>
    </row>
    <row r="2" spans="1:2" x14ac:dyDescent="0.2">
      <c r="A2">
        <v>1980</v>
      </c>
      <c r="B2">
        <v>23.12</v>
      </c>
    </row>
    <row r="3" spans="1:2" x14ac:dyDescent="0.2">
      <c r="A3">
        <v>1981</v>
      </c>
      <c r="B3">
        <v>23.71</v>
      </c>
    </row>
    <row r="4" spans="1:2" x14ac:dyDescent="0.2">
      <c r="A4">
        <v>1982</v>
      </c>
      <c r="B4">
        <v>24.14</v>
      </c>
    </row>
    <row r="5" spans="1:2" x14ac:dyDescent="0.2">
      <c r="A5">
        <v>1983</v>
      </c>
      <c r="B5">
        <v>21.91</v>
      </c>
    </row>
    <row r="6" spans="1:2" x14ac:dyDescent="0.2">
      <c r="A6">
        <v>1984</v>
      </c>
      <c r="B6">
        <v>21.24</v>
      </c>
    </row>
    <row r="7" spans="1:2" x14ac:dyDescent="0.2">
      <c r="A7">
        <v>1985</v>
      </c>
      <c r="B7">
        <v>21.51</v>
      </c>
    </row>
    <row r="8" spans="1:2" x14ac:dyDescent="0.2">
      <c r="A8">
        <v>1986</v>
      </c>
      <c r="B8">
        <v>24.78</v>
      </c>
    </row>
    <row r="9" spans="1:2" x14ac:dyDescent="0.2">
      <c r="A9">
        <v>1987</v>
      </c>
      <c r="B9">
        <v>27.23</v>
      </c>
    </row>
    <row r="10" spans="1:2" x14ac:dyDescent="0.2">
      <c r="A10">
        <v>1988</v>
      </c>
      <c r="B10">
        <v>29.8</v>
      </c>
    </row>
    <row r="11" spans="1:2" x14ac:dyDescent="0.2">
      <c r="A11">
        <v>1989</v>
      </c>
      <c r="B11">
        <v>30.42</v>
      </c>
    </row>
    <row r="12" spans="1:2" x14ac:dyDescent="0.2">
      <c r="A12">
        <v>1990</v>
      </c>
      <c r="B12">
        <v>34.479999999999997</v>
      </c>
    </row>
    <row r="13" spans="1:2" x14ac:dyDescent="0.2">
      <c r="A13">
        <v>1991</v>
      </c>
      <c r="B13">
        <v>34.869999999999997</v>
      </c>
    </row>
    <row r="14" spans="1:2" x14ac:dyDescent="0.2">
      <c r="A14">
        <v>1992</v>
      </c>
      <c r="B14">
        <v>38.86</v>
      </c>
    </row>
    <row r="15" spans="1:2" x14ac:dyDescent="0.2">
      <c r="A15">
        <v>1993</v>
      </c>
      <c r="B15">
        <v>40.26</v>
      </c>
    </row>
    <row r="16" spans="1:2" x14ac:dyDescent="0.2">
      <c r="A16">
        <v>1994</v>
      </c>
      <c r="B16">
        <v>43.31</v>
      </c>
    </row>
    <row r="17" spans="1:2" x14ac:dyDescent="0.2">
      <c r="A17">
        <v>1995</v>
      </c>
      <c r="B17">
        <v>46.58</v>
      </c>
    </row>
    <row r="18" spans="1:2" x14ac:dyDescent="0.2">
      <c r="A18">
        <v>1996</v>
      </c>
      <c r="B18">
        <v>46.83</v>
      </c>
    </row>
    <row r="19" spans="1:2" x14ac:dyDescent="0.2">
      <c r="A19">
        <v>1997</v>
      </c>
      <c r="B19">
        <v>47.4</v>
      </c>
    </row>
    <row r="20" spans="1:2" x14ac:dyDescent="0.2">
      <c r="A20">
        <v>1998</v>
      </c>
      <c r="B20">
        <v>48.78</v>
      </c>
    </row>
    <row r="21" spans="1:2" x14ac:dyDescent="0.2">
      <c r="A21">
        <v>1999</v>
      </c>
      <c r="B21">
        <v>49.16</v>
      </c>
    </row>
    <row r="22" spans="1:2" x14ac:dyDescent="0.2">
      <c r="A22">
        <v>2000</v>
      </c>
      <c r="B22">
        <v>47.28</v>
      </c>
    </row>
    <row r="23" spans="1:2" x14ac:dyDescent="0.2">
      <c r="A23">
        <v>2001</v>
      </c>
      <c r="B23">
        <v>53.8</v>
      </c>
    </row>
    <row r="24" spans="1:2" x14ac:dyDescent="0.2">
      <c r="A24">
        <v>2002</v>
      </c>
      <c r="B24">
        <v>67.64</v>
      </c>
    </row>
    <row r="25" spans="1:2" x14ac:dyDescent="0.2">
      <c r="A25">
        <v>2003</v>
      </c>
      <c r="B25">
        <v>85.19</v>
      </c>
    </row>
    <row r="26" spans="1:2" x14ac:dyDescent="0.2">
      <c r="A26">
        <v>2004</v>
      </c>
      <c r="B26">
        <v>104.02</v>
      </c>
    </row>
    <row r="27" spans="1:2" x14ac:dyDescent="0.2">
      <c r="A27">
        <v>2005</v>
      </c>
      <c r="B27">
        <v>113.1</v>
      </c>
    </row>
    <row r="28" spans="1:2" x14ac:dyDescent="0.2">
      <c r="A28">
        <v>2006</v>
      </c>
      <c r="B28">
        <v>115.6</v>
      </c>
    </row>
    <row r="29" spans="1:2" x14ac:dyDescent="0.2">
      <c r="A29">
        <v>2007</v>
      </c>
      <c r="B29">
        <v>140.12</v>
      </c>
    </row>
    <row r="30" spans="1:2" x14ac:dyDescent="0.2">
      <c r="A30">
        <v>2008</v>
      </c>
      <c r="B30">
        <v>158.22999999999999</v>
      </c>
    </row>
    <row r="31" spans="1:2" x14ac:dyDescent="0.2">
      <c r="A31">
        <v>2009</v>
      </c>
      <c r="B31">
        <v>130.81</v>
      </c>
    </row>
    <row r="32" spans="1:2" x14ac:dyDescent="0.2">
      <c r="A32">
        <v>2010</v>
      </c>
      <c r="B32">
        <v>131.9</v>
      </c>
    </row>
    <row r="33" spans="1:2" x14ac:dyDescent="0.2">
      <c r="A33">
        <v>2011</v>
      </c>
      <c r="B33">
        <v>141.71</v>
      </c>
    </row>
    <row r="34" spans="1:2" x14ac:dyDescent="0.2">
      <c r="A34">
        <v>2012</v>
      </c>
      <c r="B34">
        <v>128.47</v>
      </c>
    </row>
    <row r="35" spans="1:2" x14ac:dyDescent="0.2">
      <c r="A35">
        <v>2013</v>
      </c>
      <c r="B35">
        <v>135.65</v>
      </c>
    </row>
    <row r="36" spans="1:2" x14ac:dyDescent="0.2">
      <c r="A36">
        <v>2014</v>
      </c>
      <c r="B36">
        <v>141.13</v>
      </c>
    </row>
    <row r="37" spans="1:2" x14ac:dyDescent="0.2">
      <c r="A37">
        <v>2015</v>
      </c>
      <c r="B37">
        <v>125.24</v>
      </c>
    </row>
    <row r="38" spans="1:2" x14ac:dyDescent="0.2">
      <c r="A38">
        <v>2016</v>
      </c>
      <c r="B38">
        <v>128.97999999999999</v>
      </c>
    </row>
    <row r="39" spans="1:2" x14ac:dyDescent="0.2">
      <c r="A39">
        <v>2017</v>
      </c>
      <c r="B39">
        <v>143.34</v>
      </c>
    </row>
    <row r="40" spans="1:2" x14ac:dyDescent="0.2">
      <c r="A40">
        <v>2018</v>
      </c>
      <c r="B40">
        <v>161.19</v>
      </c>
    </row>
    <row r="41" spans="1:2" x14ac:dyDescent="0.2">
      <c r="A41">
        <v>2019</v>
      </c>
      <c r="B41">
        <v>164.93</v>
      </c>
    </row>
    <row r="42" spans="1:2" x14ac:dyDescent="0.2">
      <c r="A42">
        <v>2020</v>
      </c>
      <c r="B42">
        <v>158.47</v>
      </c>
    </row>
    <row r="43" spans="1:2" x14ac:dyDescent="0.2">
      <c r="A43">
        <v>2021</v>
      </c>
      <c r="B43">
        <v>183.28</v>
      </c>
    </row>
    <row r="44" spans="1:2" x14ac:dyDescent="0.2">
      <c r="A44">
        <v>2022</v>
      </c>
      <c r="B44">
        <v>178.32</v>
      </c>
    </row>
    <row r="45" spans="1:2" x14ac:dyDescent="0.2">
      <c r="A45">
        <v>2023</v>
      </c>
      <c r="B45">
        <v>214.1</v>
      </c>
    </row>
    <row r="46" spans="1:2" x14ac:dyDescent="0.2">
      <c r="A46">
        <v>2024</v>
      </c>
      <c r="B46">
        <v>223.06</v>
      </c>
    </row>
    <row r="47" spans="1:2" x14ac:dyDescent="0.2">
      <c r="A47">
        <v>2025</v>
      </c>
      <c r="B47">
        <v>247.76</v>
      </c>
    </row>
    <row r="48" spans="1:2" x14ac:dyDescent="0.2">
      <c r="A48">
        <v>2026</v>
      </c>
      <c r="B48">
        <v>269.92</v>
      </c>
    </row>
    <row r="49" spans="1:2" x14ac:dyDescent="0.2">
      <c r="A49">
        <v>2027</v>
      </c>
      <c r="B49">
        <v>284.12</v>
      </c>
    </row>
    <row r="50" spans="1:2" x14ac:dyDescent="0.2">
      <c r="A50">
        <v>2028</v>
      </c>
      <c r="B50">
        <v>298.58</v>
      </c>
    </row>
    <row r="51" spans="1:2" x14ac:dyDescent="0.2">
      <c r="A51">
        <v>2029</v>
      </c>
      <c r="B51">
        <v>314.31</v>
      </c>
    </row>
    <row r="52" spans="1:2" x14ac:dyDescent="0.2">
      <c r="A52">
        <v>2030</v>
      </c>
      <c r="B52">
        <v>331.13</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49f8b7d-d7b7-4853-af1f-5374344a323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D2BBA16CB74B94CBFF0FBDD8A48451A" ma:contentTypeVersion="13" ma:contentTypeDescription="Create a new document." ma:contentTypeScope="" ma:versionID="09b7e81360fb76999410d2c78582454f">
  <xsd:schema xmlns:xsd="http://www.w3.org/2001/XMLSchema" xmlns:xs="http://www.w3.org/2001/XMLSchema" xmlns:p="http://schemas.microsoft.com/office/2006/metadata/properties" xmlns:ns3="249f8b7d-d7b7-4853-af1f-5374344a3231" xmlns:ns4="2b37f291-d8cb-4364-ae82-50243e37d281" targetNamespace="http://schemas.microsoft.com/office/2006/metadata/properties" ma:root="true" ma:fieldsID="9f5f1f9e8a209856d036354cdaf0109e" ns3:_="" ns4:_="">
    <xsd:import namespace="249f8b7d-d7b7-4853-af1f-5374344a3231"/>
    <xsd:import namespace="2b37f291-d8cb-4364-ae82-50243e37d28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9f8b7d-d7b7-4853-af1f-5374344a3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37f291-d8cb-4364-ae82-50243e37d28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49AA3AE-DD2B-4EF5-9194-16B37F55CEF9}">
  <ds:schemaRefs>
    <ds:schemaRef ds:uri="http://purl.org/dc/terms/"/>
    <ds:schemaRef ds:uri="http://schemas.microsoft.com/office/2006/metadata/properties"/>
    <ds:schemaRef ds:uri="2b37f291-d8cb-4364-ae82-50243e37d281"/>
    <ds:schemaRef ds:uri="http://purl.org/dc/dcmitype/"/>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249f8b7d-d7b7-4853-af1f-5374344a3231"/>
    <ds:schemaRef ds:uri="http://purl.org/dc/elements/1.1/"/>
  </ds:schemaRefs>
</ds:datastoreItem>
</file>

<file path=customXml/itemProps2.xml><?xml version="1.0" encoding="utf-8"?>
<ds:datastoreItem xmlns:ds="http://schemas.openxmlformats.org/officeDocument/2006/customXml" ds:itemID="{50FD0A2D-ACED-4332-BB13-3BD6821619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9f8b7d-d7b7-4853-af1f-5374344a3231"/>
    <ds:schemaRef ds:uri="2b37f291-d8cb-4364-ae82-50243e37d2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852798-8AF8-4BB6-BB91-437FFD71F949}">
  <ds:schemaRefs>
    <ds:schemaRef ds:uri="http://schemas.microsoft.com/sharepoint/v3/contenttype/forms"/>
  </ds:schemaRefs>
</ds:datastoreItem>
</file>

<file path=customXml/itemProps4.xml><?xml version="1.0" encoding="utf-8"?>
<ds:datastoreItem xmlns:ds="http://schemas.openxmlformats.org/officeDocument/2006/customXml" ds:itemID="{CE7661D3-A63D-6A49-8C25-854267E29D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Full Table Data</vt:lpstr>
      <vt:lpstr>Merge 4</vt:lpstr>
      <vt:lpstr>Merge 3</vt:lpstr>
      <vt:lpstr>Merge 2</vt:lpstr>
      <vt:lpstr>Merge 1</vt:lpstr>
      <vt:lpstr>Popluation</vt:lpstr>
      <vt:lpstr>CPI</vt:lpstr>
      <vt:lpstr>Inflation Rate</vt:lpstr>
      <vt:lpstr>Unemployment</vt:lpstr>
      <vt:lpstr>GDP Growth</vt:lpstr>
      <vt:lpstr>GDP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jbrenes1;aymane.noukoud@slu.edu;amelie.noel@slu.edu;Alessandra Silva</dc:creator>
  <cp:keywords/>
  <dc:description/>
  <cp:lastModifiedBy>Jose Brenes</cp:lastModifiedBy>
  <cp:revision/>
  <dcterms:created xsi:type="dcterms:W3CDTF">2025-12-11T15:40:33Z</dcterms:created>
  <dcterms:modified xsi:type="dcterms:W3CDTF">2025-12-15T19:18:23Z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0x0101004D2BBA16CB74B94CBFF0FBDD8A48451A</vt:lpwstr>
  </property>
</Properties>
</file>